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a54949c00170af13/Desktop/"/>
    </mc:Choice>
  </mc:AlternateContent>
  <xr:revisionPtr revIDLastSave="38" documentId="8_{3BEDCB84-B2E6-49EF-A115-07F06002B74A}" xr6:coauthVersionLast="47" xr6:coauthVersionMax="47" xr10:uidLastSave="{1F3CDA01-A667-4D83-A33C-A7559F00D228}"/>
  <bookViews>
    <workbookView xWindow="-108" yWindow="-108" windowWidth="92376" windowHeight="25416" firstSheet="1" activeTab="1" xr2:uid="{00000000-000D-0000-FFFF-FFFF00000000}"/>
  </bookViews>
  <sheets>
    <sheet name="Cafe Stats" sheetId="2" state="hidden" r:id="rId1"/>
    <sheet name="Menu" sheetId="47" r:id="rId2"/>
    <sheet name="BBQ Thursday" sheetId="30" state="hidden" r:id="rId3"/>
    <sheet name="Latin American " sheetId="28" state="hidden" r:id="rId4"/>
    <sheet name="Unit Profile" sheetId="3" state="hidden" r:id="rId5"/>
    <sheet name="Min Cooking Temps and Holding" sheetId="4" state="hidden" r:id="rId6"/>
  </sheets>
  <definedNames>
    <definedName name="Menu_Prices_Gross">'Unit Profile'!$C$21</definedName>
    <definedName name="Population">'Unit Profile'!$B$3</definedName>
    <definedName name="_xlnm.Print_Area" localSheetId="5">'Min Cooking Temps and Holding'!$A$1:$V$28</definedName>
    <definedName name="_xlnm.Print_Titles" localSheetId="5">'Min Cooking Temps and Holding'!#REF!</definedName>
    <definedName name="Tax_Rate">'Unit Profile'!$B$22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47" l="1"/>
  <c r="G40" i="47"/>
  <c r="G39" i="47"/>
  <c r="G38" i="47"/>
  <c r="G37" i="47"/>
  <c r="G36" i="47"/>
  <c r="G35" i="47"/>
  <c r="G34" i="47"/>
  <c r="G33" i="47"/>
  <c r="G32" i="47"/>
  <c r="G31" i="47"/>
  <c r="G30" i="47"/>
  <c r="G29" i="47"/>
  <c r="G27" i="47"/>
  <c r="G26" i="47"/>
  <c r="G25" i="47"/>
  <c r="G23" i="47"/>
  <c r="G22" i="47"/>
  <c r="G21" i="47"/>
  <c r="G20" i="47"/>
  <c r="G19" i="47"/>
  <c r="G18" i="47"/>
  <c r="G17" i="47"/>
  <c r="G16" i="47"/>
  <c r="G15" i="47"/>
  <c r="G14" i="47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35" i="30"/>
  <c r="K36" i="30"/>
  <c r="K37" i="30"/>
  <c r="K38" i="30"/>
  <c r="K39" i="30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F10" i="2"/>
  <c r="D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tc={DCC76EC3-2B71-4FA6-A8E7-C1F8F99E3024}</author>
  </authors>
  <commentList>
    <comment ref="A25" authorId="0" shapeId="0" xr:uid="{DCC76EC3-2B71-4FA6-A8E7-C1F8F99E3024}">
      <text>
        <t>[Threaded comment]
Your version of Excel allows you to read this threaded comment; however, any edits to it will get removed if the file is opened in a newer version of Excel. Learn more: https://go.microsoft.com/fwlink/?linkid=870924
Comment:
    @DeCollo, Dave should we change this to a frittata not a quiche?</t>
      </text>
    </comment>
  </commentList>
</comments>
</file>

<file path=xl/sharedStrings.xml><?xml version="1.0" encoding="utf-8"?>
<sst xmlns="http://schemas.openxmlformats.org/spreadsheetml/2006/main" count="215" uniqueCount="157">
  <si>
    <t>Monday</t>
  </si>
  <si>
    <t>Date</t>
  </si>
  <si>
    <t>Daily Sales</t>
  </si>
  <si>
    <t>Period</t>
  </si>
  <si>
    <t>Total Sales</t>
  </si>
  <si>
    <t>Customer Count</t>
  </si>
  <si>
    <t>Café</t>
  </si>
  <si>
    <t>Day Part 1</t>
  </si>
  <si>
    <t>Yellow area are Data input areas</t>
  </si>
  <si>
    <t>Day Part 2</t>
  </si>
  <si>
    <t>Day Part 3</t>
  </si>
  <si>
    <t>Day Part 4</t>
  </si>
  <si>
    <t>Catering</t>
  </si>
  <si>
    <t>Total Day</t>
  </si>
  <si>
    <t>Total Daily Sales</t>
  </si>
  <si>
    <t>All Day Participation</t>
  </si>
  <si>
    <t>All Day Average Check</t>
  </si>
  <si>
    <t>Lunch Participation</t>
  </si>
  <si>
    <t>Lunch Average Check</t>
  </si>
  <si>
    <t>Margin Rank</t>
  </si>
  <si>
    <t># Units Sold Rank</t>
  </si>
  <si>
    <t>Description</t>
  </si>
  <si>
    <t>Day Offered</t>
  </si>
  <si>
    <t>Qty Prep</t>
  </si>
  <si>
    <t>Left Over</t>
  </si>
  <si>
    <t>Total Sold</t>
  </si>
  <si>
    <t>Sold Thru Register</t>
  </si>
  <si>
    <t>% of Total</t>
  </si>
  <si>
    <t>Cost</t>
  </si>
  <si>
    <t>Sell Price</t>
  </si>
  <si>
    <t>Potential Food Cost %</t>
  </si>
  <si>
    <t>Potential Gross Profit</t>
  </si>
  <si>
    <t>% of Total Potential Profit</t>
  </si>
  <si>
    <t>Net Profit with Waste</t>
  </si>
  <si>
    <t>% of  Total Net Profit with Waste</t>
  </si>
  <si>
    <t>Over Production %</t>
  </si>
  <si>
    <t>Net Profit with Portioning</t>
  </si>
  <si>
    <t>% of  Total Net Profit with Portioning</t>
  </si>
  <si>
    <t>Over Portioning %</t>
  </si>
  <si>
    <t>Opening Date</t>
  </si>
  <si>
    <t>Café Name</t>
  </si>
  <si>
    <t>Type of Concept:</t>
  </si>
  <si>
    <t>Location:</t>
  </si>
  <si>
    <t>Concept Statement</t>
  </si>
  <si>
    <t>Signature Foods</t>
  </si>
  <si>
    <t xml:space="preserve">Menu </t>
  </si>
  <si>
    <t>Ingredient List</t>
  </si>
  <si>
    <t>Vegan
Vegetarian</t>
  </si>
  <si>
    <t>Calories</t>
  </si>
  <si>
    <t>Food Cost</t>
  </si>
  <si>
    <t>Food Cost %</t>
  </si>
  <si>
    <t>WebT</t>
  </si>
  <si>
    <t>CLT DA Notes</t>
  </si>
  <si>
    <t>Culinary Notes</t>
  </si>
  <si>
    <t>Technology</t>
  </si>
  <si>
    <t xml:space="preserve">Marketing </t>
  </si>
  <si>
    <t>Modifiers Allowed (Y/N)</t>
  </si>
  <si>
    <t>Remove Mods</t>
  </si>
  <si>
    <t>Add Mods</t>
  </si>
  <si>
    <t>Side Mods</t>
  </si>
  <si>
    <t>Sales Description</t>
  </si>
  <si>
    <t>Communication</t>
  </si>
  <si>
    <t>Vegan</t>
  </si>
  <si>
    <t>AUS13</t>
  </si>
  <si>
    <t>BBQ - Rotation (Thursday)</t>
  </si>
  <si>
    <t>Austin, Texas</t>
  </si>
  <si>
    <t>BBQ</t>
  </si>
  <si>
    <r>
      <t xml:space="preserve">Menu </t>
    </r>
    <r>
      <rPr>
        <b/>
        <sz val="8"/>
        <rFont val="Arial"/>
        <family val="2"/>
      </rPr>
      <t>(4 week cycle)</t>
    </r>
  </si>
  <si>
    <t>Thrive (Y/N)</t>
  </si>
  <si>
    <t>(Station Name)</t>
  </si>
  <si>
    <t>Wk1</t>
  </si>
  <si>
    <t>Asado Steak</t>
  </si>
  <si>
    <t>Asado Chicken</t>
  </si>
  <si>
    <t>Fried Avocado and Artichoke Hearts</t>
  </si>
  <si>
    <t>Empanadas</t>
  </si>
  <si>
    <t>Shrimp</t>
  </si>
  <si>
    <t>Black Bean</t>
  </si>
  <si>
    <t>Cheese</t>
  </si>
  <si>
    <t>Taco</t>
  </si>
  <si>
    <t>Pastor</t>
  </si>
  <si>
    <t>Smoked Barbacoa</t>
  </si>
  <si>
    <t>Cauliflower and quinoa</t>
  </si>
  <si>
    <t>Baja Tacos</t>
  </si>
  <si>
    <t>Gulf Shrimp</t>
  </si>
  <si>
    <t>Texas Redshish</t>
  </si>
  <si>
    <t>Jackfruit</t>
  </si>
  <si>
    <t>Prepared by:</t>
  </si>
  <si>
    <t>Date:</t>
  </si>
  <si>
    <t>Taqueria</t>
  </si>
  <si>
    <t xml:space="preserve">M-F same </t>
  </si>
  <si>
    <t xml:space="preserve">Latin American </t>
  </si>
  <si>
    <t>Operation Number</t>
  </si>
  <si>
    <t>Population</t>
  </si>
  <si>
    <t>Sammamish Café</t>
  </si>
  <si>
    <t>District Manager's Name</t>
  </si>
  <si>
    <t>Derek Schmidt  v-dereks</t>
  </si>
  <si>
    <t>On site Manager's Name</t>
  </si>
  <si>
    <t>James Hemmen  v-jhemm</t>
  </si>
  <si>
    <t>On Site Chef's Name</t>
  </si>
  <si>
    <t>Barney Reed  v-breed</t>
  </si>
  <si>
    <t>Catering Contact Info</t>
  </si>
  <si>
    <t>sammcater@microsoft.com</t>
  </si>
  <si>
    <t>Hours of Operation</t>
  </si>
  <si>
    <t>Day part 1</t>
  </si>
  <si>
    <t>Breakfast</t>
  </si>
  <si>
    <t>Operating hours for 1</t>
  </si>
  <si>
    <t>7:30 - 9:30</t>
  </si>
  <si>
    <t>Day part 2</t>
  </si>
  <si>
    <t>Lunch</t>
  </si>
  <si>
    <t>Operating hours for 3</t>
  </si>
  <si>
    <t>11:00 - 2:00</t>
  </si>
  <si>
    <t>Day part 3</t>
  </si>
  <si>
    <t>Day part 4</t>
  </si>
  <si>
    <t>Espresso</t>
  </si>
  <si>
    <t>Operating hours for 4</t>
  </si>
  <si>
    <t>7:30 - 5:00</t>
  </si>
  <si>
    <t>Menu prices are Gross Sales</t>
  </si>
  <si>
    <t>1=yes   2=no</t>
  </si>
  <si>
    <t>Tax Rate</t>
  </si>
  <si>
    <t>MINIMUM COOKING TEMPERATURES AND HOLDING TIMES</t>
  </si>
  <si>
    <t>Food</t>
  </si>
  <si>
    <t>Minimum Core Temperature</t>
  </si>
  <si>
    <t>Minimum Holding Time at Specified Temperature</t>
  </si>
  <si>
    <t>Roast  Beef</t>
  </si>
  <si>
    <t>130°F/54°C</t>
  </si>
  <si>
    <t>121 minutes</t>
  </si>
  <si>
    <t>Reheated unsliced roast beef</t>
  </si>
  <si>
    <t>136°F/58°C</t>
  </si>
  <si>
    <t>32 minutes</t>
  </si>
  <si>
    <t>145°F/63°C</t>
  </si>
  <si>
    <t>3 minutes</t>
  </si>
  <si>
    <t>Fruits and vegetables</t>
  </si>
  <si>
    <t>140°F/60°C</t>
  </si>
  <si>
    <t>15 seconds</t>
  </si>
  <si>
    <r>
      <t xml:space="preserve">Pork  </t>
    </r>
    <r>
      <rPr>
        <i/>
        <sz val="8"/>
        <rFont val="Tahoma"/>
        <family val="2"/>
      </rPr>
      <t>(WA State)</t>
    </r>
  </si>
  <si>
    <t>150°F/65°C</t>
  </si>
  <si>
    <r>
      <t>Raw shell eggs</t>
    </r>
    <r>
      <rPr>
        <sz val="9"/>
        <rFont val="Tahoma"/>
        <family val="2"/>
      </rPr>
      <t xml:space="preserve"> </t>
    </r>
    <r>
      <rPr>
        <i/>
        <sz val="8"/>
        <rFont val="Tahoma"/>
        <family val="2"/>
      </rPr>
      <t>(prepared for an individual customer without a customer advisory)</t>
    </r>
  </si>
  <si>
    <r>
      <t>Fish, meat</t>
    </r>
    <r>
      <rPr>
        <i/>
        <sz val="8"/>
        <rFont val="Tahoma"/>
        <family val="2"/>
      </rPr>
      <t>, (unless otherwise specified below)</t>
    </r>
  </si>
  <si>
    <t>Game Animals</t>
  </si>
  <si>
    <t>Chopped, flaked, ground, or minced fish, meat, and game animals</t>
  </si>
  <si>
    <t xml:space="preserve">Items prepared with shell eggs </t>
  </si>
  <si>
    <t>Injected Meats</t>
  </si>
  <si>
    <t>155°F/68°C</t>
  </si>
  <si>
    <t>Ground beef patties</t>
  </si>
  <si>
    <t>158°F/70°C</t>
  </si>
  <si>
    <t>&lt;1 second</t>
  </si>
  <si>
    <t>Hamburger</t>
  </si>
  <si>
    <t>Poultry</t>
  </si>
  <si>
    <t>Stuffed fish, meat, poultry, pasta</t>
  </si>
  <si>
    <t>Stuffing containing fish, meat, poultry, eggs</t>
  </si>
  <si>
    <t>Reheated potential hazardous food</t>
  </si>
  <si>
    <t>165°F/74°C</t>
  </si>
  <si>
    <t>Raw animal foods cooked in a microwave</t>
  </si>
  <si>
    <t>Potentially hazardous food reheated in a Microwave</t>
  </si>
  <si>
    <t>Hold covered for 2 minutes after cooking</t>
  </si>
  <si>
    <t>Menu Name:</t>
  </si>
  <si>
    <t>MRN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</si>
</sst>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_([$$-409]* #,##0.00_);_([$$-409]* \(#,##0.00\);_([$$-409]* &quot;-&quot;??_);_(@_)"/>
  </numFmts>
  <fonts count="2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b/>
      <sz val="12"/>
      <color indexed="23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i/>
      <sz val="8"/>
      <name val="Tahoma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0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24"/>
      </left>
      <right style="thick">
        <color indexed="24"/>
      </right>
      <top style="thick">
        <color indexed="24"/>
      </top>
      <bottom style="thick">
        <color indexed="24"/>
      </bottom>
      <diagonal/>
    </border>
    <border>
      <left style="thick">
        <color indexed="24"/>
      </left>
      <right/>
      <top style="thick">
        <color indexed="24"/>
      </top>
      <bottom style="thick">
        <color indexed="24"/>
      </bottom>
      <diagonal/>
    </border>
    <border>
      <left/>
      <right/>
      <top style="thick">
        <color indexed="24"/>
      </top>
      <bottom style="thick">
        <color indexed="24"/>
      </bottom>
      <diagonal/>
    </border>
    <border>
      <left/>
      <right/>
      <top style="thick">
        <color indexed="24"/>
      </top>
      <bottom/>
      <diagonal/>
    </border>
    <border>
      <left style="thick">
        <color indexed="24"/>
      </left>
      <right/>
      <top/>
      <bottom style="thick">
        <color indexed="24"/>
      </bottom>
      <diagonal/>
    </border>
    <border>
      <left/>
      <right/>
      <top/>
      <bottom style="thick">
        <color indexed="24"/>
      </bottom>
      <diagonal/>
    </border>
    <border>
      <left style="thick">
        <color indexed="24"/>
      </left>
      <right style="thick">
        <color indexed="24"/>
      </right>
      <top style="thick">
        <color indexed="2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6" fillId="0" borderId="2" xfId="0" applyFont="1" applyBorder="1"/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2" borderId="3" xfId="0" applyFont="1" applyFill="1" applyBorder="1"/>
    <xf numFmtId="0" fontId="6" fillId="2" borderId="4" xfId="0" applyFont="1" applyFill="1" applyBorder="1"/>
    <xf numFmtId="0" fontId="6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6" fillId="2" borderId="4" xfId="0" applyFont="1" applyFill="1" applyBorder="1" applyAlignment="1">
      <alignment horizontal="right"/>
    </xf>
    <xf numFmtId="0" fontId="0" fillId="0" borderId="9" xfId="0" applyBorder="1"/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 vertical="center"/>
    </xf>
    <xf numFmtId="0" fontId="16" fillId="0" borderId="0" xfId="0" applyFont="1"/>
    <xf numFmtId="14" fontId="0" fillId="0" borderId="0" xfId="0" applyNumberFormat="1"/>
    <xf numFmtId="0" fontId="17" fillId="0" borderId="0" xfId="0" applyFont="1"/>
    <xf numFmtId="0" fontId="18" fillId="0" borderId="10" xfId="0" applyFont="1" applyBorder="1" applyAlignment="1" applyProtection="1">
      <alignment horizontal="center" wrapText="1"/>
      <protection hidden="1"/>
    </xf>
    <xf numFmtId="1" fontId="1" fillId="0" borderId="0" xfId="1" applyNumberFormat="1" applyFont="1" applyFill="1" applyBorder="1" applyAlignment="1">
      <alignment horizontal="center"/>
    </xf>
    <xf numFmtId="0" fontId="18" fillId="0" borderId="11" xfId="0" applyFont="1" applyBorder="1" applyAlignment="1" applyProtection="1">
      <alignment horizontal="center" wrapText="1"/>
      <protection hidden="1"/>
    </xf>
    <xf numFmtId="0" fontId="18" fillId="0" borderId="12" xfId="0" applyFont="1" applyBorder="1" applyAlignment="1" applyProtection="1">
      <alignment horizontal="center" wrapText="1"/>
      <protection hidden="1"/>
    </xf>
    <xf numFmtId="0" fontId="18" fillId="0" borderId="13" xfId="0" applyFont="1" applyBorder="1" applyAlignment="1" applyProtection="1">
      <alignment horizontal="center" wrapText="1"/>
      <protection hidden="1"/>
    </xf>
    <xf numFmtId="0" fontId="0" fillId="3" borderId="0" xfId="0" applyFill="1"/>
    <xf numFmtId="0" fontId="0" fillId="0" borderId="2" xfId="0" applyBorder="1"/>
    <xf numFmtId="0" fontId="14" fillId="0" borderId="0" xfId="0" applyFont="1"/>
    <xf numFmtId="0" fontId="14" fillId="2" borderId="1" xfId="0" applyFont="1" applyFill="1" applyBorder="1" applyAlignment="1">
      <alignment horizontal="right"/>
    </xf>
    <xf numFmtId="164" fontId="14" fillId="0" borderId="1" xfId="3" applyNumberFormat="1" applyFont="1" applyBorder="1"/>
    <xf numFmtId="44" fontId="14" fillId="0" borderId="1" xfId="1" applyFont="1" applyBorder="1"/>
    <xf numFmtId="0" fontId="7" fillId="0" borderId="15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1" xfId="0" applyFont="1" applyBorder="1"/>
    <xf numFmtId="0" fontId="19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8" fontId="20" fillId="0" borderId="0" xfId="0" applyNumberFormat="1" applyFont="1" applyAlignment="1">
      <alignment horizontal="center" wrapText="1"/>
    </xf>
    <xf numFmtId="0" fontId="0" fillId="6" borderId="0" xfId="0" applyFill="1"/>
    <xf numFmtId="8" fontId="20" fillId="0" borderId="1" xfId="0" applyNumberFormat="1" applyFont="1" applyBorder="1" applyAlignment="1">
      <alignment horizontal="left" wrapText="1"/>
    </xf>
    <xf numFmtId="8" fontId="20" fillId="0" borderId="26" xfId="0" applyNumberFormat="1" applyFont="1" applyBorder="1" applyAlignment="1">
      <alignment horizontal="left" wrapText="1"/>
    </xf>
    <xf numFmtId="0" fontId="4" fillId="4" borderId="36" xfId="0" applyFont="1" applyFill="1" applyBorder="1" applyAlignment="1">
      <alignment horizontal="center" wrapText="1"/>
    </xf>
    <xf numFmtId="41" fontId="4" fillId="0" borderId="26" xfId="0" applyNumberFormat="1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8" fontId="20" fillId="0" borderId="15" xfId="0" applyNumberFormat="1" applyFont="1" applyBorder="1" applyAlignment="1">
      <alignment horizontal="left" wrapText="1"/>
    </xf>
    <xf numFmtId="0" fontId="4" fillId="4" borderId="35" xfId="0" applyFont="1" applyFill="1" applyBorder="1" applyAlignment="1">
      <alignment horizontal="center" wrapText="1"/>
    </xf>
    <xf numFmtId="0" fontId="4" fillId="0" borderId="26" xfId="0" applyFont="1" applyBorder="1" applyAlignment="1">
      <alignment horizontal="left" vertical="center" wrapText="1"/>
    </xf>
    <xf numFmtId="8" fontId="20" fillId="0" borderId="0" xfId="0" applyNumberFormat="1" applyFont="1" applyAlignment="1">
      <alignment horizontal="left" wrapText="1"/>
    </xf>
    <xf numFmtId="0" fontId="0" fillId="9" borderId="0" xfId="0" applyFill="1"/>
    <xf numFmtId="0" fontId="2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>
      <alignment vertical="top" wrapText="1"/>
    </xf>
    <xf numFmtId="0" fontId="5" fillId="9" borderId="0" xfId="0" applyFont="1" applyFill="1"/>
    <xf numFmtId="0" fontId="6" fillId="9" borderId="0" xfId="0" applyFont="1" applyFill="1" applyAlignment="1">
      <alignment horizontal="right" wrapText="1"/>
    </xf>
    <xf numFmtId="0" fontId="6" fillId="9" borderId="0" xfId="0" applyFont="1" applyFill="1" applyAlignment="1">
      <alignment horizontal="left"/>
    </xf>
    <xf numFmtId="0" fontId="6" fillId="9" borderId="0" xfId="0" applyFont="1" applyFill="1"/>
    <xf numFmtId="0" fontId="0" fillId="9" borderId="0" xfId="0" applyFill="1" applyAlignment="1">
      <alignment wrapText="1"/>
    </xf>
    <xf numFmtId="0" fontId="6" fillId="9" borderId="0" xfId="0" applyFont="1" applyFill="1" applyAlignment="1">
      <alignment horizontal="right"/>
    </xf>
    <xf numFmtId="0" fontId="6" fillId="9" borderId="2" xfId="0" applyFont="1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6" fillId="9" borderId="1" xfId="0" applyFont="1" applyFill="1" applyBorder="1" applyAlignment="1">
      <alignment horizontal="left" wrapText="1"/>
    </xf>
    <xf numFmtId="0" fontId="0" fillId="9" borderId="16" xfId="0" applyFill="1" applyBorder="1" applyAlignment="1">
      <alignment horizontal="left" wrapText="1"/>
    </xf>
    <xf numFmtId="0" fontId="0" fillId="9" borderId="0" xfId="0" applyFill="1" applyAlignment="1">
      <alignment horizontal="left" wrapText="1"/>
    </xf>
    <xf numFmtId="0" fontId="0" fillId="9" borderId="23" xfId="0" applyFill="1" applyBorder="1" applyAlignment="1">
      <alignment horizontal="left" wrapText="1"/>
    </xf>
    <xf numFmtId="0" fontId="0" fillId="9" borderId="23" xfId="0" applyFill="1" applyBorder="1" applyAlignment="1">
      <alignment wrapText="1"/>
    </xf>
    <xf numFmtId="8" fontId="20" fillId="0" borderId="32" xfId="0" applyNumberFormat="1" applyFont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left" wrapText="1"/>
    </xf>
    <xf numFmtId="0" fontId="4" fillId="4" borderId="35" xfId="0" applyFont="1" applyFill="1" applyBorder="1" applyAlignment="1">
      <alignment horizontal="left" wrapText="1"/>
    </xf>
    <xf numFmtId="12" fontId="6" fillId="4" borderId="35" xfId="0" applyNumberFormat="1" applyFont="1" applyFill="1" applyBorder="1" applyAlignment="1">
      <alignment horizontal="right" wrapText="1"/>
    </xf>
    <xf numFmtId="12" fontId="8" fillId="4" borderId="35" xfId="0" applyNumberFormat="1" applyFont="1" applyFill="1" applyBorder="1" applyAlignment="1">
      <alignment horizontal="center" vertical="center" wrapText="1"/>
    </xf>
    <xf numFmtId="0" fontId="7" fillId="0" borderId="0" xfId="0" applyFont="1"/>
    <xf numFmtId="8" fontId="7" fillId="0" borderId="0" xfId="0" applyNumberFormat="1" applyFont="1" applyAlignment="1">
      <alignment horizontal="center" wrapText="1"/>
    </xf>
    <xf numFmtId="9" fontId="7" fillId="0" borderId="0" xfId="3" applyFont="1" applyBorder="1" applyAlignment="1">
      <alignment horizontal="center" wrapText="1"/>
    </xf>
    <xf numFmtId="41" fontId="0" fillId="9" borderId="37" xfId="0" applyNumberFormat="1" applyFill="1" applyBorder="1" applyAlignment="1">
      <alignment horizontal="left" wrapText="1"/>
    </xf>
    <xf numFmtId="0" fontId="0" fillId="9" borderId="37" xfId="0" applyFill="1" applyBorder="1" applyAlignment="1">
      <alignment horizontal="left" wrapText="1"/>
    </xf>
    <xf numFmtId="0" fontId="0" fillId="9" borderId="30" xfId="0" applyFill="1" applyBorder="1" applyAlignment="1">
      <alignment horizontal="left" wrapText="1"/>
    </xf>
    <xf numFmtId="0" fontId="0" fillId="9" borderId="35" xfId="0" applyFill="1" applyBorder="1" applyAlignment="1">
      <alignment horizontal="left" wrapText="1"/>
    </xf>
    <xf numFmtId="0" fontId="4" fillId="9" borderId="2" xfId="0" applyFont="1" applyFill="1" applyBorder="1" applyAlignment="1">
      <alignment horizontal="center"/>
    </xf>
    <xf numFmtId="8" fontId="20" fillId="0" borderId="15" xfId="0" applyNumberFormat="1" applyFont="1" applyBorder="1" applyAlignment="1">
      <alignment horizontal="right" wrapText="1"/>
    </xf>
    <xf numFmtId="8" fontId="7" fillId="0" borderId="15" xfId="0" applyNumberFormat="1" applyFont="1" applyBorder="1" applyAlignment="1">
      <alignment horizontal="right" wrapText="1"/>
    </xf>
    <xf numFmtId="9" fontId="7" fillId="0" borderId="15" xfId="3" applyFont="1" applyBorder="1" applyAlignment="1">
      <alignment horizontal="right" wrapText="1"/>
    </xf>
    <xf numFmtId="9" fontId="7" fillId="0" borderId="0" xfId="3" applyFont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14" fontId="1" fillId="0" borderId="0" xfId="1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21" fillId="6" borderId="0" xfId="0" applyFont="1" applyFill="1" applyAlignment="1">
      <alignment vertical="center"/>
    </xf>
    <xf numFmtId="0" fontId="22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right" vertical="center"/>
    </xf>
    <xf numFmtId="0" fontId="21" fillId="9" borderId="0" xfId="0" applyFont="1" applyFill="1"/>
    <xf numFmtId="0" fontId="21" fillId="0" borderId="0" xfId="0" applyFont="1"/>
    <xf numFmtId="0" fontId="22" fillId="9" borderId="0" xfId="0" applyFont="1" applyFill="1" applyAlignment="1">
      <alignment vertical="center" wrapText="1"/>
    </xf>
    <xf numFmtId="0" fontId="22" fillId="9" borderId="0" xfId="0" applyFont="1" applyFill="1" applyAlignment="1">
      <alignment horizontal="right" vertical="center"/>
    </xf>
    <xf numFmtId="0" fontId="22" fillId="9" borderId="0" xfId="0" applyFont="1" applyFill="1" applyAlignment="1">
      <alignment horizontal="right" vertical="center" wrapText="1"/>
    </xf>
    <xf numFmtId="0" fontId="22" fillId="9" borderId="0" xfId="0" applyFont="1" applyFill="1" applyAlignment="1">
      <alignment horizontal="right" vertical="top" wrapText="1"/>
    </xf>
    <xf numFmtId="0" fontId="21" fillId="9" borderId="0" xfId="0" applyFont="1" applyFill="1" applyAlignment="1">
      <alignment horizontal="right" vertical="center" wrapText="1"/>
    </xf>
    <xf numFmtId="0" fontId="22" fillId="9" borderId="2" xfId="0" applyFont="1" applyFill="1" applyBorder="1" applyAlignment="1">
      <alignment horizontal="right" vertical="top"/>
    </xf>
    <xf numFmtId="0" fontId="22" fillId="0" borderId="31" xfId="0" applyFont="1" applyBorder="1" applyAlignment="1">
      <alignment horizontal="left" vertical="center" wrapText="1"/>
    </xf>
    <xf numFmtId="0" fontId="22" fillId="0" borderId="41" xfId="0" applyFont="1" applyBorder="1" applyAlignment="1">
      <alignment horizontal="left" vertical="center" wrapText="1"/>
    </xf>
    <xf numFmtId="0" fontId="22" fillId="0" borderId="28" xfId="0" applyFont="1" applyBorder="1" applyAlignment="1">
      <alignment vertical="center" wrapText="1"/>
    </xf>
    <xf numFmtId="41" fontId="22" fillId="0" borderId="28" xfId="0" applyNumberFormat="1" applyFont="1" applyBorder="1" applyAlignment="1">
      <alignment vertical="center" wrapText="1"/>
    </xf>
    <xf numFmtId="0" fontId="22" fillId="0" borderId="2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1" fillId="4" borderId="33" xfId="0" applyFont="1" applyFill="1" applyBorder="1" applyAlignment="1">
      <alignment horizontal="left" vertical="center" wrapText="1"/>
    </xf>
    <xf numFmtId="0" fontId="22" fillId="4" borderId="0" xfId="0" applyFont="1" applyFill="1" applyAlignment="1">
      <alignment horizontal="center" wrapText="1"/>
    </xf>
    <xf numFmtId="12" fontId="22" fillId="4" borderId="33" xfId="0" applyNumberFormat="1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wrapText="1"/>
    </xf>
    <xf numFmtId="0" fontId="22" fillId="4" borderId="29" xfId="0" applyFont="1" applyFill="1" applyBorder="1" applyAlignment="1">
      <alignment horizontal="righ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wrapText="1"/>
    </xf>
    <xf numFmtId="12" fontId="22" fillId="7" borderId="1" xfId="0" applyNumberFormat="1" applyFont="1" applyFill="1" applyBorder="1" applyAlignment="1">
      <alignment horizontal="center" vertical="center" wrapText="1"/>
    </xf>
    <xf numFmtId="0" fontId="22" fillId="7" borderId="30" xfId="0" applyFont="1" applyFill="1" applyBorder="1" applyAlignment="1">
      <alignment horizontal="center" vertical="center" wrapText="1"/>
    </xf>
    <xf numFmtId="0" fontId="22" fillId="7" borderId="27" xfId="0" applyFont="1" applyFill="1" applyBorder="1" applyAlignment="1">
      <alignment horizontal="right" vertical="center" wrapText="1"/>
    </xf>
    <xf numFmtId="0" fontId="22" fillId="7" borderId="33" xfId="0" applyFont="1" applyFill="1" applyBorder="1" applyAlignment="1">
      <alignment horizontal="right" vertical="center" wrapText="1"/>
    </xf>
    <xf numFmtId="0" fontId="21" fillId="9" borderId="1" xfId="0" applyFont="1" applyFill="1" applyBorder="1" applyAlignment="1">
      <alignment horizontal="left" vertical="center" wrapText="1"/>
    </xf>
    <xf numFmtId="8" fontId="23" fillId="9" borderId="1" xfId="0" applyNumberFormat="1" applyFont="1" applyFill="1" applyBorder="1" applyAlignment="1">
      <alignment horizontal="left" vertical="center" wrapText="1"/>
    </xf>
    <xf numFmtId="8" fontId="23" fillId="9" borderId="1" xfId="0" applyNumberFormat="1" applyFont="1" applyFill="1" applyBorder="1" applyAlignment="1">
      <alignment horizontal="center" vertical="center" wrapText="1"/>
    </xf>
    <xf numFmtId="0" fontId="21" fillId="9" borderId="36" xfId="0" applyFont="1" applyFill="1" applyBorder="1" applyAlignment="1">
      <alignment horizontal="right" vertical="center"/>
    </xf>
    <xf numFmtId="8" fontId="23" fillId="9" borderId="26" xfId="0" applyNumberFormat="1" applyFont="1" applyFill="1" applyBorder="1" applyAlignment="1">
      <alignment horizontal="right" vertical="center" wrapText="1"/>
    </xf>
    <xf numFmtId="166" fontId="21" fillId="9" borderId="26" xfId="0" applyNumberFormat="1" applyFont="1" applyFill="1" applyBorder="1" applyAlignment="1">
      <alignment horizontal="right" vertical="center" wrapText="1"/>
    </xf>
    <xf numFmtId="9" fontId="21" fillId="9" borderId="26" xfId="0" applyNumberFormat="1" applyFont="1" applyFill="1" applyBorder="1" applyAlignment="1">
      <alignment horizontal="center" vertical="center"/>
    </xf>
    <xf numFmtId="8" fontId="23" fillId="9" borderId="26" xfId="0" applyNumberFormat="1" applyFont="1" applyFill="1" applyBorder="1" applyAlignment="1">
      <alignment horizontal="center" vertical="center" wrapText="1"/>
    </xf>
    <xf numFmtId="0" fontId="21" fillId="9" borderId="26" xfId="0" applyFont="1" applyFill="1" applyBorder="1"/>
    <xf numFmtId="0" fontId="21" fillId="9" borderId="26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left" vertical="center" wrapText="1"/>
    </xf>
    <xf numFmtId="8" fontId="23" fillId="0" borderId="37" xfId="0" applyNumberFormat="1" applyFont="1" applyBorder="1" applyAlignment="1">
      <alignment horizontal="left" vertical="center" wrapText="1"/>
    </xf>
    <xf numFmtId="8" fontId="23" fillId="0" borderId="29" xfId="0" applyNumberFormat="1" applyFont="1" applyBorder="1" applyAlignment="1">
      <alignment horizontal="center" vertical="center" wrapText="1"/>
    </xf>
    <xf numFmtId="0" fontId="21" fillId="9" borderId="26" xfId="0" applyFont="1" applyFill="1" applyBorder="1" applyAlignment="1">
      <alignment horizontal="center" vertical="center"/>
    </xf>
    <xf numFmtId="166" fontId="21" fillId="9" borderId="26" xfId="0" applyNumberFormat="1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right" vertical="center"/>
    </xf>
    <xf numFmtId="0" fontId="21" fillId="9" borderId="26" xfId="0" applyFont="1" applyFill="1" applyBorder="1" applyAlignment="1">
      <alignment horizontal="left" vertical="center" wrapText="1"/>
    </xf>
    <xf numFmtId="8" fontId="23" fillId="0" borderId="26" xfId="0" applyNumberFormat="1" applyFont="1" applyBorder="1" applyAlignment="1">
      <alignment horizontal="left" vertical="center" wrapText="1"/>
    </xf>
    <xf numFmtId="8" fontId="23" fillId="0" borderId="26" xfId="0" applyNumberFormat="1" applyFont="1" applyBorder="1" applyAlignment="1">
      <alignment horizontal="center" vertical="center" wrapText="1"/>
    </xf>
    <xf numFmtId="8" fontId="23" fillId="0" borderId="41" xfId="0" applyNumberFormat="1" applyFont="1" applyBorder="1" applyAlignment="1">
      <alignment horizontal="left" vertical="center" wrapText="1"/>
    </xf>
    <xf numFmtId="8" fontId="23" fillId="0" borderId="28" xfId="0" applyNumberFormat="1" applyFont="1" applyBorder="1" applyAlignment="1">
      <alignment horizontal="center" vertical="center" wrapText="1"/>
    </xf>
    <xf numFmtId="166" fontId="21" fillId="9" borderId="26" xfId="0" applyNumberFormat="1" applyFont="1" applyFill="1" applyBorder="1" applyAlignment="1">
      <alignment horizontal="center" vertical="center" wrapText="1"/>
    </xf>
    <xf numFmtId="8" fontId="23" fillId="0" borderId="34" xfId="0" applyNumberFormat="1" applyFont="1" applyBorder="1" applyAlignment="1">
      <alignment horizontal="left" vertical="center" wrapText="1"/>
    </xf>
    <xf numFmtId="0" fontId="21" fillId="9" borderId="28" xfId="0" applyFont="1" applyFill="1" applyBorder="1" applyAlignment="1">
      <alignment horizontal="left" vertical="center" wrapText="1"/>
    </xf>
    <xf numFmtId="8" fontId="23" fillId="9" borderId="28" xfId="0" applyNumberFormat="1" applyFont="1" applyFill="1" applyBorder="1" applyAlignment="1">
      <alignment horizontal="left" vertical="center" wrapText="1"/>
    </xf>
    <xf numFmtId="8" fontId="23" fillId="9" borderId="28" xfId="0" applyNumberFormat="1" applyFont="1" applyFill="1" applyBorder="1" applyAlignment="1">
      <alignment horizontal="center" vertical="center" wrapText="1"/>
    </xf>
    <xf numFmtId="0" fontId="21" fillId="9" borderId="26" xfId="0" applyFont="1" applyFill="1" applyBorder="1" applyAlignment="1">
      <alignment vertical="center"/>
    </xf>
    <xf numFmtId="0" fontId="21" fillId="7" borderId="26" xfId="0" applyFont="1" applyFill="1" applyBorder="1" applyAlignment="1">
      <alignment horizontal="left" vertical="center" wrapText="1"/>
    </xf>
    <xf numFmtId="0" fontId="22" fillId="7" borderId="26" xfId="0" applyFont="1" applyFill="1" applyBorder="1" applyAlignment="1">
      <alignment vertical="center" wrapText="1"/>
    </xf>
    <xf numFmtId="12" fontId="22" fillId="7" borderId="26" xfId="0" applyNumberFormat="1" applyFont="1" applyFill="1" applyBorder="1" applyAlignment="1">
      <alignment horizontal="center" vertical="center" wrapText="1"/>
    </xf>
    <xf numFmtId="0" fontId="22" fillId="7" borderId="26" xfId="0" applyFont="1" applyFill="1" applyBorder="1" applyAlignment="1">
      <alignment horizontal="right" vertical="center" wrapText="1"/>
    </xf>
    <xf numFmtId="0" fontId="22" fillId="8" borderId="26" xfId="0" applyFont="1" applyFill="1" applyBorder="1" applyAlignment="1">
      <alignment horizontal="right" vertical="center" wrapText="1"/>
    </xf>
    <xf numFmtId="165" fontId="21" fillId="7" borderId="26" xfId="0" applyNumberFormat="1" applyFont="1" applyFill="1" applyBorder="1" applyAlignment="1">
      <alignment horizontal="right" vertical="center" wrapText="1"/>
    </xf>
    <xf numFmtId="0" fontId="22" fillId="7" borderId="26" xfId="0" applyFont="1" applyFill="1" applyBorder="1" applyAlignment="1">
      <alignment horizontal="center" vertical="center" wrapText="1"/>
    </xf>
    <xf numFmtId="8" fontId="23" fillId="0" borderId="26" xfId="0" applyNumberFormat="1" applyFont="1" applyBorder="1" applyAlignment="1">
      <alignment vertical="center" wrapText="1"/>
    </xf>
    <xf numFmtId="1" fontId="21" fillId="0" borderId="26" xfId="0" applyNumberFormat="1" applyFont="1" applyBorder="1" applyAlignment="1">
      <alignment horizontal="center" vertical="center"/>
    </xf>
    <xf numFmtId="8" fontId="21" fillId="0" borderId="26" xfId="0" applyNumberFormat="1" applyFont="1" applyBorder="1" applyAlignment="1">
      <alignment horizontal="center" vertical="center" wrapText="1"/>
    </xf>
    <xf numFmtId="0" fontId="24" fillId="9" borderId="26" xfId="0" applyFont="1" applyFill="1" applyBorder="1" applyAlignment="1">
      <alignment horizontal="center" vertical="center" wrapText="1"/>
    </xf>
    <xf numFmtId="0" fontId="24" fillId="9" borderId="26" xfId="0" applyFont="1" applyFill="1" applyBorder="1" applyAlignment="1">
      <alignment vertical="top" wrapText="1"/>
    </xf>
    <xf numFmtId="8" fontId="23" fillId="7" borderId="26" xfId="0" applyNumberFormat="1" applyFont="1" applyFill="1" applyBorder="1" applyAlignment="1">
      <alignment horizontal="left" vertical="center" wrapText="1"/>
    </xf>
    <xf numFmtId="8" fontId="23" fillId="7" borderId="26" xfId="0" applyNumberFormat="1" applyFont="1" applyFill="1" applyBorder="1" applyAlignment="1">
      <alignment vertical="center" wrapText="1"/>
    </xf>
    <xf numFmtId="8" fontId="23" fillId="7" borderId="26" xfId="0" applyNumberFormat="1" applyFont="1" applyFill="1" applyBorder="1" applyAlignment="1">
      <alignment horizontal="center" vertical="center" wrapText="1"/>
    </xf>
    <xf numFmtId="1" fontId="21" fillId="7" borderId="26" xfId="0" applyNumberFormat="1" applyFont="1" applyFill="1" applyBorder="1" applyAlignment="1">
      <alignment horizontal="right" vertical="center"/>
    </xf>
    <xf numFmtId="8" fontId="23" fillId="7" borderId="26" xfId="0" applyNumberFormat="1" applyFont="1" applyFill="1" applyBorder="1" applyAlignment="1">
      <alignment horizontal="right" vertical="center" wrapText="1"/>
    </xf>
    <xf numFmtId="8" fontId="21" fillId="7" borderId="26" xfId="0" applyNumberFormat="1" applyFont="1" applyFill="1" applyBorder="1" applyAlignment="1">
      <alignment horizontal="right" vertical="center" wrapText="1"/>
    </xf>
    <xf numFmtId="9" fontId="21" fillId="7" borderId="26" xfId="3" applyFont="1" applyFill="1" applyBorder="1" applyAlignment="1">
      <alignment horizontal="right" vertical="center" wrapText="1"/>
    </xf>
    <xf numFmtId="0" fontId="24" fillId="7" borderId="26" xfId="0" applyFont="1" applyFill="1" applyBorder="1" applyAlignment="1">
      <alignment vertical="top" wrapText="1"/>
    </xf>
    <xf numFmtId="0" fontId="23" fillId="9" borderId="26" xfId="0" applyFont="1" applyFill="1" applyBorder="1" applyAlignment="1">
      <alignment horizontal="left" vertical="center"/>
    </xf>
    <xf numFmtId="8" fontId="23" fillId="9" borderId="26" xfId="0" applyNumberFormat="1" applyFont="1" applyFill="1" applyBorder="1" applyAlignment="1">
      <alignment horizontal="center" wrapText="1"/>
    </xf>
    <xf numFmtId="1" fontId="23" fillId="9" borderId="26" xfId="0" applyNumberFormat="1" applyFont="1" applyFill="1" applyBorder="1" applyAlignment="1">
      <alignment horizontal="center" vertical="center" wrapText="1"/>
    </xf>
    <xf numFmtId="8" fontId="21" fillId="9" borderId="26" xfId="0" applyNumberFormat="1" applyFont="1" applyFill="1" applyBorder="1" applyAlignment="1">
      <alignment horizontal="center" vertical="center" wrapText="1"/>
    </xf>
    <xf numFmtId="1" fontId="21" fillId="9" borderId="26" xfId="0" applyNumberFormat="1" applyFont="1" applyFill="1" applyBorder="1" applyAlignment="1">
      <alignment horizontal="center" vertical="center"/>
    </xf>
    <xf numFmtId="165" fontId="21" fillId="9" borderId="26" xfId="0" applyNumberFormat="1" applyFont="1" applyFill="1" applyBorder="1" applyAlignment="1">
      <alignment horizontal="center" vertical="center"/>
    </xf>
    <xf numFmtId="0" fontId="21" fillId="9" borderId="28" xfId="0" applyFont="1" applyFill="1" applyBorder="1" applyAlignment="1">
      <alignment vertical="center"/>
    </xf>
    <xf numFmtId="0" fontId="21" fillId="9" borderId="28" xfId="0" applyFont="1" applyFill="1" applyBorder="1"/>
    <xf numFmtId="0" fontId="21" fillId="9" borderId="28" xfId="0" applyFont="1" applyFill="1" applyBorder="1" applyAlignment="1">
      <alignment horizontal="center" vertical="center"/>
    </xf>
    <xf numFmtId="0" fontId="21" fillId="9" borderId="28" xfId="0" applyFont="1" applyFill="1" applyBorder="1" applyAlignment="1">
      <alignment horizontal="right" vertical="center"/>
    </xf>
    <xf numFmtId="0" fontId="21" fillId="9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4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1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44" fontId="0" fillId="3" borderId="1" xfId="1" applyFont="1" applyFill="1" applyBorder="1" applyAlignment="1">
      <alignment horizontal="center"/>
    </xf>
    <xf numFmtId="1" fontId="1" fillId="3" borderId="1" xfId="1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14" fontId="1" fillId="2" borderId="20" xfId="1" applyNumberFormat="1" applyFont="1" applyFill="1" applyBorder="1" applyAlignment="1">
      <alignment horizontal="center"/>
    </xf>
    <xf numFmtId="0" fontId="22" fillId="9" borderId="1" xfId="0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left" vertical="top" wrapText="1"/>
    </xf>
    <xf numFmtId="0" fontId="22" fillId="0" borderId="17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left" vertical="top"/>
    </xf>
    <xf numFmtId="0" fontId="22" fillId="9" borderId="35" xfId="0" applyFont="1" applyFill="1" applyBorder="1" applyAlignment="1">
      <alignment horizontal="left" vertical="top"/>
    </xf>
    <xf numFmtId="0" fontId="22" fillId="9" borderId="36" xfId="0" applyFont="1" applyFill="1" applyBorder="1" applyAlignment="1">
      <alignment horizontal="left" vertical="top"/>
    </xf>
    <xf numFmtId="14" fontId="22" fillId="9" borderId="17" xfId="0" applyNumberFormat="1" applyFont="1" applyFill="1" applyBorder="1" applyAlignment="1">
      <alignment horizontal="right" vertical="top" wrapText="1"/>
    </xf>
    <xf numFmtId="0" fontId="22" fillId="9" borderId="18" xfId="0" applyFont="1" applyFill="1" applyBorder="1" applyAlignment="1">
      <alignment horizontal="right" vertical="top" wrapText="1"/>
    </xf>
    <xf numFmtId="0" fontId="22" fillId="9" borderId="34" xfId="0" applyFont="1" applyFill="1" applyBorder="1" applyAlignment="1">
      <alignment vertical="center"/>
    </xf>
    <xf numFmtId="0" fontId="22" fillId="9" borderId="35" xfId="0" applyFont="1" applyFill="1" applyBorder="1" applyAlignment="1">
      <alignment vertical="center"/>
    </xf>
    <xf numFmtId="0" fontId="22" fillId="9" borderId="36" xfId="0" applyFont="1" applyFill="1" applyBorder="1" applyAlignment="1">
      <alignment vertical="center"/>
    </xf>
    <xf numFmtId="0" fontId="22" fillId="9" borderId="15" xfId="0" applyFont="1" applyFill="1" applyBorder="1" applyAlignment="1">
      <alignment horizontal="left" wrapText="1"/>
    </xf>
    <xf numFmtId="0" fontId="21" fillId="5" borderId="1" xfId="0" applyFont="1" applyFill="1" applyBorder="1" applyAlignment="1">
      <alignment horizontal="left" wrapText="1"/>
    </xf>
    <xf numFmtId="8" fontId="20" fillId="0" borderId="17" xfId="0" applyNumberFormat="1" applyFont="1" applyBorder="1" applyAlignment="1">
      <alignment horizontal="center" wrapText="1"/>
    </xf>
    <xf numFmtId="8" fontId="20" fillId="0" borderId="16" xfId="0" applyNumberFormat="1" applyFont="1" applyBorder="1" applyAlignment="1">
      <alignment horizontal="center" wrapText="1"/>
    </xf>
    <xf numFmtId="8" fontId="20" fillId="0" borderId="17" xfId="0" applyNumberFormat="1" applyFont="1" applyBorder="1" applyAlignment="1">
      <alignment horizontal="left" wrapText="1"/>
    </xf>
    <xf numFmtId="0" fontId="6" fillId="9" borderId="0" xfId="0" applyFont="1" applyFill="1" applyAlignment="1">
      <alignment horizontal="right" vertical="top" wrapText="1"/>
    </xf>
    <xf numFmtId="0" fontId="6" fillId="9" borderId="17" xfId="0" applyFont="1" applyFill="1" applyBorder="1" applyAlignment="1">
      <alignment horizontal="left" vertical="top"/>
    </xf>
    <xf numFmtId="0" fontId="6" fillId="9" borderId="17" xfId="0" applyFont="1" applyFill="1" applyBorder="1" applyAlignment="1">
      <alignment horizontal="left" vertical="top" wrapText="1"/>
    </xf>
    <xf numFmtId="0" fontId="6" fillId="9" borderId="40" xfId="0" applyFont="1" applyFill="1" applyBorder="1" applyAlignment="1">
      <alignment horizontal="left" vertical="top" wrapText="1"/>
    </xf>
    <xf numFmtId="0" fontId="6" fillId="9" borderId="0" xfId="0" applyFont="1" applyFill="1" applyAlignment="1">
      <alignment horizontal="right" vertical="top"/>
    </xf>
    <xf numFmtId="0" fontId="6" fillId="9" borderId="1" xfId="0" applyFont="1" applyFill="1" applyBorder="1" applyAlignment="1">
      <alignment horizontal="left" vertical="top"/>
    </xf>
    <xf numFmtId="0" fontId="0" fillId="5" borderId="17" xfId="0" applyFill="1" applyBorder="1" applyAlignment="1">
      <alignment horizontal="left" wrapText="1"/>
    </xf>
    <xf numFmtId="0" fontId="0" fillId="5" borderId="16" xfId="0" applyFill="1" applyBorder="1" applyAlignment="1">
      <alignment horizontal="left" wrapText="1"/>
    </xf>
    <xf numFmtId="0" fontId="0" fillId="5" borderId="38" xfId="0" applyFill="1" applyBorder="1" applyAlignment="1">
      <alignment horizontal="left" wrapText="1"/>
    </xf>
    <xf numFmtId="0" fontId="0" fillId="5" borderId="24" xfId="0" applyFill="1" applyBorder="1" applyAlignment="1">
      <alignment horizontal="left" wrapText="1"/>
    </xf>
    <xf numFmtId="0" fontId="0" fillId="5" borderId="39" xfId="0" applyFill="1" applyBorder="1" applyAlignment="1">
      <alignment horizontal="left" wrapText="1"/>
    </xf>
    <xf numFmtId="0" fontId="4" fillId="0" borderId="26" xfId="0" applyFont="1" applyBorder="1" applyAlignment="1">
      <alignment horizontal="left" vertical="center" wrapText="1"/>
    </xf>
    <xf numFmtId="8" fontId="20" fillId="0" borderId="25" xfId="0" applyNumberFormat="1" applyFont="1" applyBorder="1" applyAlignment="1">
      <alignment horizontal="left" wrapText="1"/>
    </xf>
    <xf numFmtId="0" fontId="1" fillId="5" borderId="17" xfId="0" applyFont="1" applyFill="1" applyBorder="1" applyAlignment="1">
      <alignment horizontal="left" wrapText="1"/>
    </xf>
    <xf numFmtId="0" fontId="1" fillId="5" borderId="24" xfId="0" applyFont="1" applyFill="1" applyBorder="1" applyAlignment="1">
      <alignment horizontal="left" wrapText="1"/>
    </xf>
    <xf numFmtId="0" fontId="1" fillId="5" borderId="39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10" fontId="1" fillId="0" borderId="3" xfId="3" applyNumberFormat="1" applyFont="1" applyBorder="1" applyAlignment="1">
      <alignment horizontal="center"/>
    </xf>
    <xf numFmtId="0" fontId="13" fillId="0" borderId="3" xfId="2" applyBorder="1" applyAlignment="1" applyProtection="1">
      <alignment horizontal="center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84557</xdr:rowOff>
    </xdr:from>
    <xdr:to>
      <xdr:col>1</xdr:col>
      <xdr:colOff>0</xdr:colOff>
      <xdr:row>3</xdr:row>
      <xdr:rowOff>83619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0AAA2-232F-4E1E-BE96-8DB076E3F164}"/>
            </a:ext>
            <a:ext uri="{147F2762-F138-4A5C-976F-8EAC2B608ADB}">
              <a16:predDERef xmlns:a16="http://schemas.microsoft.com/office/drawing/2014/main" pred="{7C47CCE3-CE48-4F4D-A116-77FB27E32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619249" cy="456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EA05EBC3-3E7E-47CD-A724-5A8130782DFF}"/>
            </a:ext>
          </a:extLst>
        </xdr:cNvPr>
        <xdr:cNvSpPr>
          <a:spLocks noChangeArrowheads="1"/>
        </xdr:cNvSpPr>
      </xdr:nvSpPr>
      <xdr:spPr bwMode="auto">
        <a:xfrm>
          <a:off x="4346575" y="676275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4F82A3-69BD-4386-BE6B-609A757898F5}"/>
            </a:ext>
            <a:ext uri="{147F2762-F138-4A5C-976F-8EAC2B608ADB}">
              <a16:predDERef xmlns:a16="http://schemas.microsoft.com/office/drawing/2014/main" pre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4346575" y="676275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95251</xdr:colOff>
      <xdr:row>0</xdr:row>
      <xdr:rowOff>84557</xdr:rowOff>
    </xdr:from>
    <xdr:to>
      <xdr:col>0</xdr:col>
      <xdr:colOff>1670050</xdr:colOff>
      <xdr:row>2</xdr:row>
      <xdr:rowOff>180774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34DC30-B051-413B-B3BD-73FBAC28C864}"/>
            </a:ext>
            <a:ext uri="{147F2762-F138-4A5C-976F-8EAC2B608ADB}">
              <a16:predDERef xmlns:a16="http://schemas.microsoft.com/office/drawing/2014/main" pred="{BE95835C-56A1-41EA-969C-F4105D5F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574799" cy="4867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2771775" y="723900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333375</xdr:colOff>
      <xdr:row>41</xdr:row>
      <xdr:rowOff>0</xdr:rowOff>
    </xdr:from>
    <xdr:to>
      <xdr:col>5</xdr:col>
      <xdr:colOff>28575</xdr:colOff>
      <xdr:row>41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E95835C-56A1-41EA-969C-F4105D5FEE7F}"/>
            </a:ext>
            <a:ext uri="{147F2762-F138-4A5C-976F-8EAC2B608ADB}">
              <a16:predDERef xmlns:a16="http://schemas.microsoft.com/office/drawing/2014/main" pred="{AF91B893-7269-45AE-9146-A8B6E9B1BFD6}"/>
            </a:ext>
          </a:extLst>
        </xdr:cNvPr>
        <xdr:cNvSpPr>
          <a:spLocks noChangeArrowheads="1"/>
        </xdr:cNvSpPr>
      </xdr:nvSpPr>
      <xdr:spPr bwMode="auto">
        <a:xfrm>
          <a:off x="2771775" y="7239000"/>
          <a:ext cx="304800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95251</xdr:colOff>
      <xdr:row>0</xdr:row>
      <xdr:rowOff>84557</xdr:rowOff>
    </xdr:from>
    <xdr:to>
      <xdr:col>0</xdr:col>
      <xdr:colOff>1670050</xdr:colOff>
      <xdr:row>3</xdr:row>
      <xdr:rowOff>2974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AE56B-851C-4391-A883-3AA601E8587B}"/>
            </a:ext>
            <a:ext uri="{147F2762-F138-4A5C-976F-8EAC2B608ADB}">
              <a16:predDERef xmlns:a16="http://schemas.microsoft.com/office/drawing/2014/main" pred="{BE95835C-56A1-41EA-969C-F4105D5F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84557"/>
          <a:ext cx="1574799" cy="499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209550</xdr:colOff>
      <xdr:row>0</xdr:row>
      <xdr:rowOff>0</xdr:rowOff>
    </xdr:from>
    <xdr:to>
      <xdr:col>22</xdr:col>
      <xdr:colOff>28575</xdr:colOff>
      <xdr:row>2</xdr:row>
      <xdr:rowOff>123825</xdr:rowOff>
    </xdr:to>
    <xdr:pic>
      <xdr:nvPicPr>
        <xdr:cNvPr id="3955" name="Picture 1">
          <a:extLst>
            <a:ext uri="{FF2B5EF4-FFF2-40B4-BE49-F238E27FC236}">
              <a16:creationId xmlns:a16="http://schemas.microsoft.com/office/drawing/2014/main" id="{498F53AC-E3E7-1B86-DE9C-7F4A94533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8625" y="0"/>
          <a:ext cx="12382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371475</xdr:colOff>
      <xdr:row>0</xdr:row>
      <xdr:rowOff>0</xdr:rowOff>
    </xdr:from>
    <xdr:to>
      <xdr:col>8</xdr:col>
      <xdr:colOff>76200</xdr:colOff>
      <xdr:row>0</xdr:row>
      <xdr:rowOff>0</xdr:rowOff>
    </xdr:to>
    <xdr:sp macro="" textlink="">
      <xdr:nvSpPr>
        <xdr:cNvPr id="3956" name="AutoShape 2">
          <a:extLst>
            <a:ext uri="{FF2B5EF4-FFF2-40B4-BE49-F238E27FC236}">
              <a16:creationId xmlns:a16="http://schemas.microsoft.com/office/drawing/2014/main" id="{0560BB0E-2D9F-B23F-5319-CE5406495FBF}"/>
            </a:ext>
          </a:extLst>
        </xdr:cNvPr>
        <xdr:cNvSpPr>
          <a:spLocks noChangeArrowheads="1"/>
        </xdr:cNvSpPr>
      </xdr:nvSpPr>
      <xdr:spPr bwMode="auto">
        <a:xfrm>
          <a:off x="5772150" y="0"/>
          <a:ext cx="238125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19</xdr:col>
      <xdr:colOff>28575</xdr:colOff>
      <xdr:row>0</xdr:row>
      <xdr:rowOff>0</xdr:rowOff>
    </xdr:from>
    <xdr:to>
      <xdr:col>21</xdr:col>
      <xdr:colOff>371475</xdr:colOff>
      <xdr:row>2</xdr:row>
      <xdr:rowOff>123825</xdr:rowOff>
    </xdr:to>
    <xdr:pic>
      <xdr:nvPicPr>
        <xdr:cNvPr id="3957" name="Picture 3">
          <a:extLst>
            <a:ext uri="{FF2B5EF4-FFF2-40B4-BE49-F238E27FC236}">
              <a16:creationId xmlns:a16="http://schemas.microsoft.com/office/drawing/2014/main" id="{1B33F9E3-91D3-D446-89A1-3CEE0E4B8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77650" y="0"/>
          <a:ext cx="12192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371475</xdr:colOff>
      <xdr:row>0</xdr:row>
      <xdr:rowOff>0</xdr:rowOff>
    </xdr:from>
    <xdr:to>
      <xdr:col>8</xdr:col>
      <xdr:colOff>76200</xdr:colOff>
      <xdr:row>0</xdr:row>
      <xdr:rowOff>0</xdr:rowOff>
    </xdr:to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E7ADC26E-3F3D-A286-880B-76A2B503B3C6}"/>
            </a:ext>
          </a:extLst>
        </xdr:cNvPr>
        <xdr:cNvSpPr>
          <a:spLocks noChangeArrowheads="1"/>
        </xdr:cNvSpPr>
      </xdr:nvSpPr>
      <xdr:spPr bwMode="auto">
        <a:xfrm>
          <a:off x="5772150" y="0"/>
          <a:ext cx="238125" cy="0"/>
        </a:xfrm>
        <a:prstGeom prst="notchedRightArrow">
          <a:avLst>
            <a:gd name="adj1" fmla="val 50000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59" name="Line 5">
          <a:extLst>
            <a:ext uri="{FF2B5EF4-FFF2-40B4-BE49-F238E27FC236}">
              <a16:creationId xmlns:a16="http://schemas.microsoft.com/office/drawing/2014/main" id="{7180048C-443E-53AB-86BC-32EBE9F680E9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0" name="Line 6">
          <a:extLst>
            <a:ext uri="{FF2B5EF4-FFF2-40B4-BE49-F238E27FC236}">
              <a16:creationId xmlns:a16="http://schemas.microsoft.com/office/drawing/2014/main" id="{35279748-4DEA-0243-9B75-4EF6618BF371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1" name="Line 7">
          <a:extLst>
            <a:ext uri="{FF2B5EF4-FFF2-40B4-BE49-F238E27FC236}">
              <a16:creationId xmlns:a16="http://schemas.microsoft.com/office/drawing/2014/main" id="{092059A5-030C-559E-11FF-3AE9BEC977E7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</xdr:colOff>
      <xdr:row>0</xdr:row>
      <xdr:rowOff>0</xdr:rowOff>
    </xdr:from>
    <xdr:to>
      <xdr:col>3</xdr:col>
      <xdr:colOff>542925</xdr:colOff>
      <xdr:row>0</xdr:row>
      <xdr:rowOff>0</xdr:rowOff>
    </xdr:to>
    <xdr:sp macro="" textlink="">
      <xdr:nvSpPr>
        <xdr:cNvPr id="3962" name="Line 8">
          <a:extLst>
            <a:ext uri="{FF2B5EF4-FFF2-40B4-BE49-F238E27FC236}">
              <a16:creationId xmlns:a16="http://schemas.microsoft.com/office/drawing/2014/main" id="{0FF09660-6890-F96D-9965-C565BB305C15}"/>
            </a:ext>
          </a:extLst>
        </xdr:cNvPr>
        <xdr:cNvSpPr>
          <a:spLocks noChangeShapeType="1"/>
        </xdr:cNvSpPr>
      </xdr:nvSpPr>
      <xdr:spPr bwMode="auto">
        <a:xfrm>
          <a:off x="3257550" y="0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1375410</xdr:colOff>
      <xdr:row>0</xdr:row>
      <xdr:rowOff>0</xdr:rowOff>
    </xdr:from>
    <xdr:to>
      <xdr:col>6</xdr:col>
      <xdr:colOff>422259</xdr:colOff>
      <xdr:row>0</xdr:row>
      <xdr:rowOff>129540</xdr:rowOff>
    </xdr:to>
    <xdr:sp macro="" textlink="">
      <xdr:nvSpPr>
        <xdr:cNvPr id="3081" name="Text Box 9">
          <a:extLst>
            <a:ext uri="{FF2B5EF4-FFF2-40B4-BE49-F238E27FC236}">
              <a16:creationId xmlns:a16="http://schemas.microsoft.com/office/drawing/2014/main" id="{72A21AD4-78B1-488F-99CC-D465EC2CE103}"/>
            </a:ext>
          </a:extLst>
        </xdr:cNvPr>
        <xdr:cNvSpPr txBox="1">
          <a:spLocks noChangeArrowheads="1"/>
        </xdr:cNvSpPr>
      </xdr:nvSpPr>
      <xdr:spPr bwMode="auto">
        <a:xfrm>
          <a:off x="1417320" y="0"/>
          <a:ext cx="3992880" cy="129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Formula Menu-  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To insert a Formula - Use the color coded formulas to </a:t>
          </a: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copy </a:t>
          </a: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and paste into the cell you wish to use. Copy from the cells that have 0's in them- not the ones that have the words.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Collo, Dave" id="{7B99475B-4288-4336-8C5A-C0AD628C1BC4}" userId="Dave.DeCollo@compass-usa.com" providerId="PeoplePicker"/>
  <person displayName="Hansen, Nicole" id="{1B0A3A82-657C-40E7-A2CE-EF34A381F123}" userId="S::nicole.hansen@compass-usa.com::b6624b62-5a56-42f3-bbd7-d3fc89b4a56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5" dT="2025-03-03T20:33:14.22" personId="{1B0A3A82-657C-40E7-A2CE-EF34A381F123}" id="{DCC76EC3-2B71-4FA6-A8E7-C1F8F99E3024}" done="1">
    <text>@DeCollo, Dave should we change this to a frittata not a quiche?</text>
    <mentions>
      <mention mentionpersonId="{7B99475B-4288-4336-8C5A-C0AD628C1BC4}" mentionId="{5D47B4FF-8F73-4BCF-B413-B7D04EA88372}" startIndex="0" length="1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ammcater@Microsoft.com" TargetMode="External"/><Relationship Id="rId1" Type="http://schemas.openxmlformats.org/officeDocument/2006/relationships/hyperlink" Target="mailto:caf&#233;@rea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T20"/>
  <sheetViews>
    <sheetView topLeftCell="A2" workbookViewId="0">
      <selection activeCell="I8" sqref="I8"/>
    </sheetView>
  </sheetViews>
  <sheetFormatPr defaultRowHeight="13.2" x14ac:dyDescent="0.25"/>
  <cols>
    <col min="1" max="2" width="6.44140625" customWidth="1"/>
    <col min="3" max="3" width="44.44140625" customWidth="1"/>
    <col min="4" max="4" width="8.44140625" customWidth="1"/>
    <col min="5" max="5" width="9.44140625" customWidth="1"/>
    <col min="6" max="8" width="7.44140625" customWidth="1"/>
  </cols>
  <sheetData>
    <row r="3" spans="1:12" ht="21.6" thickBot="1" x14ac:dyDescent="0.45">
      <c r="B3" s="17" t="s">
        <v>0</v>
      </c>
      <c r="D3" t="s">
        <v>1</v>
      </c>
      <c r="E3" s="18">
        <v>37757</v>
      </c>
    </row>
    <row r="4" spans="1:12" ht="26.25" customHeight="1" thickBot="1" x14ac:dyDescent="0.3">
      <c r="A4" s="191" t="s">
        <v>2</v>
      </c>
      <c r="B4" s="192"/>
      <c r="C4" s="87" t="s">
        <v>3</v>
      </c>
      <c r="D4" s="195" t="s">
        <v>4</v>
      </c>
      <c r="E4" s="195"/>
      <c r="F4" s="196" t="s">
        <v>5</v>
      </c>
      <c r="G4" s="196"/>
      <c r="H4" s="88"/>
    </row>
    <row r="5" spans="1:12" ht="15" customHeight="1" x14ac:dyDescent="0.25">
      <c r="A5" s="14" t="s">
        <v>6</v>
      </c>
      <c r="C5" s="14" t="s">
        <v>7</v>
      </c>
      <c r="D5" s="193"/>
      <c r="E5" s="193"/>
      <c r="F5" s="194"/>
      <c r="G5" s="194"/>
      <c r="H5" s="21"/>
      <c r="J5" s="25" t="s">
        <v>8</v>
      </c>
      <c r="K5" s="25"/>
      <c r="L5" s="25"/>
    </row>
    <row r="6" spans="1:12" ht="15" customHeight="1" x14ac:dyDescent="0.4">
      <c r="A6" s="15"/>
      <c r="C6" s="14" t="s">
        <v>9</v>
      </c>
      <c r="D6" s="193"/>
      <c r="E6" s="193"/>
      <c r="F6" s="194"/>
      <c r="G6" s="194"/>
      <c r="H6" s="21"/>
    </row>
    <row r="7" spans="1:12" ht="15" customHeight="1" x14ac:dyDescent="0.4">
      <c r="A7" s="15"/>
      <c r="C7" s="14" t="s">
        <v>10</v>
      </c>
      <c r="D7" s="193"/>
      <c r="E7" s="193"/>
      <c r="F7" s="194"/>
      <c r="G7" s="194"/>
      <c r="H7" s="21"/>
    </row>
    <row r="8" spans="1:12" ht="15" customHeight="1" x14ac:dyDescent="0.4">
      <c r="A8" s="15"/>
      <c r="C8" s="14" t="s">
        <v>11</v>
      </c>
      <c r="D8" s="193"/>
      <c r="E8" s="193"/>
      <c r="F8" s="194"/>
      <c r="G8" s="194"/>
      <c r="H8" s="21"/>
    </row>
    <row r="9" spans="1:12" ht="15" x14ac:dyDescent="0.25">
      <c r="A9" s="14" t="s">
        <v>12</v>
      </c>
      <c r="C9" s="14" t="s">
        <v>13</v>
      </c>
      <c r="D9" s="193"/>
      <c r="E9" s="193"/>
      <c r="F9" s="194"/>
      <c r="G9" s="194"/>
      <c r="H9" s="21"/>
    </row>
    <row r="10" spans="1:12" ht="15" x14ac:dyDescent="0.25">
      <c r="B10" s="14"/>
      <c r="C10" s="16" t="s">
        <v>14</v>
      </c>
      <c r="D10" s="188">
        <f>SUM(D5:E9)</f>
        <v>0</v>
      </c>
      <c r="E10" s="189"/>
      <c r="F10" s="190">
        <f>SUM(F5:G9)</f>
        <v>0</v>
      </c>
      <c r="G10" s="189"/>
      <c r="H10" s="1"/>
    </row>
    <row r="13" spans="1:12" s="19" customFormat="1" ht="15" x14ac:dyDescent="0.25">
      <c r="A13" s="27"/>
      <c r="B13" s="27"/>
      <c r="C13" s="28" t="s">
        <v>15</v>
      </c>
      <c r="D13" s="29">
        <v>0.5</v>
      </c>
      <c r="E13" s="27"/>
      <c r="F13" s="27"/>
      <c r="G13" s="27"/>
      <c r="H13" s="27"/>
      <c r="I13" s="27"/>
      <c r="J13" s="27"/>
      <c r="K13" s="27"/>
      <c r="L13" s="27"/>
    </row>
    <row r="14" spans="1:12" s="19" customFormat="1" ht="15" x14ac:dyDescent="0.25">
      <c r="A14" s="27"/>
      <c r="B14" s="27"/>
      <c r="C14" s="28" t="s">
        <v>16</v>
      </c>
      <c r="D14" s="30">
        <v>1</v>
      </c>
      <c r="E14" s="27"/>
      <c r="F14" s="27"/>
      <c r="G14" s="27"/>
      <c r="H14" s="27"/>
      <c r="I14" s="27"/>
      <c r="J14" s="27"/>
      <c r="K14" s="27"/>
      <c r="L14" s="27"/>
    </row>
    <row r="15" spans="1:12" s="19" customFormat="1" ht="15" x14ac:dyDescent="0.25">
      <c r="A15" s="27"/>
      <c r="B15" s="27"/>
      <c r="C15" s="28" t="s">
        <v>17</v>
      </c>
      <c r="D15" s="29">
        <v>0.5</v>
      </c>
      <c r="E15" s="27"/>
      <c r="F15" s="27"/>
      <c r="G15" s="27"/>
      <c r="H15" s="27"/>
      <c r="I15" s="27"/>
      <c r="J15" s="27"/>
      <c r="K15" s="27"/>
      <c r="L15" s="27"/>
    </row>
    <row r="16" spans="1:12" s="19" customFormat="1" ht="15" x14ac:dyDescent="0.25">
      <c r="A16" s="27"/>
      <c r="B16" s="27"/>
      <c r="C16" s="28" t="s">
        <v>18</v>
      </c>
      <c r="D16" s="30">
        <v>1</v>
      </c>
      <c r="E16" s="27"/>
      <c r="F16" s="27"/>
      <c r="G16" s="27"/>
      <c r="H16" s="27"/>
      <c r="I16" s="27"/>
      <c r="J16" s="27"/>
      <c r="K16" s="27"/>
      <c r="L16" s="27"/>
    </row>
    <row r="19" spans="1:20" ht="55.8" thickBot="1" x14ac:dyDescent="0.35">
      <c r="A19" s="20" t="s">
        <v>19</v>
      </c>
      <c r="B19" s="20" t="s">
        <v>20</v>
      </c>
      <c r="C19" s="20" t="s">
        <v>21</v>
      </c>
      <c r="D19" s="20" t="s">
        <v>22</v>
      </c>
      <c r="E19" s="20" t="s">
        <v>23</v>
      </c>
      <c r="F19" s="20" t="s">
        <v>24</v>
      </c>
      <c r="G19" s="20" t="s">
        <v>25</v>
      </c>
      <c r="H19" s="20" t="s">
        <v>26</v>
      </c>
      <c r="I19" s="20" t="s">
        <v>27</v>
      </c>
      <c r="J19" s="20" t="s">
        <v>28</v>
      </c>
      <c r="K19" s="20" t="s">
        <v>29</v>
      </c>
      <c r="L19" s="22" t="s">
        <v>30</v>
      </c>
      <c r="M19" s="23" t="s">
        <v>31</v>
      </c>
      <c r="N19" s="24" t="s">
        <v>32</v>
      </c>
      <c r="O19" s="22" t="s">
        <v>33</v>
      </c>
      <c r="P19" s="23" t="s">
        <v>34</v>
      </c>
      <c r="Q19" s="24" t="s">
        <v>35</v>
      </c>
      <c r="R19" s="22" t="s">
        <v>36</v>
      </c>
      <c r="S19" s="23" t="s">
        <v>37</v>
      </c>
      <c r="T19" s="24" t="s">
        <v>38</v>
      </c>
    </row>
    <row r="20" spans="1:20" ht="13.8" thickTop="1" x14ac:dyDescent="0.25"/>
  </sheetData>
  <mergeCells count="15">
    <mergeCell ref="D10:E10"/>
    <mergeCell ref="F10:G10"/>
    <mergeCell ref="A4:B4"/>
    <mergeCell ref="D8:E8"/>
    <mergeCell ref="F8:G8"/>
    <mergeCell ref="D9:E9"/>
    <mergeCell ref="F9:G9"/>
    <mergeCell ref="D6:E6"/>
    <mergeCell ref="F6:G6"/>
    <mergeCell ref="D7:E7"/>
    <mergeCell ref="F7:G7"/>
    <mergeCell ref="D4:E4"/>
    <mergeCell ref="F4:G4"/>
    <mergeCell ref="D5:E5"/>
    <mergeCell ref="F5:G5"/>
  </mergeCells>
  <phoneticPr fontId="0" type="noConversion"/>
  <pageMargins left="0.25" right="0.25" top="1" bottom="1" header="0.5" footer="0.5"/>
  <pageSetup paperSize="5"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50B4-A2A5-4D08-B4D0-6BC6702628BC}">
  <sheetPr>
    <tabColor rgb="FF00B050"/>
  </sheetPr>
  <dimension ref="A1:AT76"/>
  <sheetViews>
    <sheetView tabSelected="1" workbookViewId="0">
      <selection activeCell="K19" sqref="K19"/>
    </sheetView>
  </sheetViews>
  <sheetFormatPr defaultRowHeight="12.75" customHeight="1" x14ac:dyDescent="0.25"/>
  <cols>
    <col min="1" max="1" width="25" style="185" customWidth="1"/>
    <col min="2" max="2" width="33.6640625" style="99" customWidth="1"/>
    <col min="3" max="3" width="10.5546875" style="185" customWidth="1"/>
    <col min="4" max="7" width="10.5546875" style="186" customWidth="1"/>
    <col min="8" max="8" width="8.6640625" style="187" customWidth="1"/>
    <col min="9" max="9" width="11.88671875" style="187" customWidth="1"/>
    <col min="10" max="10" width="26.5546875" style="187" hidden="1" customWidth="1"/>
    <col min="11" max="11" width="53.33203125" style="98" bestFit="1" customWidth="1"/>
    <col min="12" max="12" width="11.88671875" style="98" customWidth="1"/>
    <col min="13" max="14" width="8.88671875" style="98"/>
    <col min="15" max="15" width="13.109375" style="98" customWidth="1"/>
    <col min="16" max="16" width="21.109375" style="98" customWidth="1"/>
    <col min="17" max="17" width="13.5546875" style="98" customWidth="1"/>
    <col min="18" max="46" width="8.88671875" style="98"/>
    <col min="47" max="16384" width="8.88671875" style="99"/>
  </cols>
  <sheetData>
    <row r="1" spans="1:17" ht="12" x14ac:dyDescent="0.25">
      <c r="A1" s="94"/>
      <c r="B1" s="95"/>
      <c r="C1" s="96"/>
      <c r="D1" s="96"/>
      <c r="E1" s="96"/>
      <c r="F1" s="96"/>
      <c r="G1" s="96"/>
      <c r="H1" s="97"/>
      <c r="I1" s="97"/>
      <c r="J1" s="97"/>
    </row>
    <row r="2" spans="1:17" ht="12" x14ac:dyDescent="0.25">
      <c r="A2" s="94"/>
      <c r="B2" s="95"/>
      <c r="C2" s="96"/>
      <c r="D2" s="96"/>
      <c r="E2" s="96"/>
      <c r="F2" s="96"/>
      <c r="G2" s="96"/>
      <c r="H2" s="97"/>
      <c r="I2" s="97"/>
      <c r="J2" s="97"/>
    </row>
    <row r="3" spans="1:17" ht="12" x14ac:dyDescent="0.25">
      <c r="A3" s="94"/>
      <c r="B3" s="98"/>
      <c r="C3" s="100"/>
      <c r="D3" s="96"/>
      <c r="E3" s="96"/>
      <c r="F3" s="96"/>
      <c r="G3" s="101"/>
      <c r="H3" s="97"/>
      <c r="I3" s="101" t="s">
        <v>39</v>
      </c>
      <c r="J3" s="101"/>
    </row>
    <row r="4" spans="1:17" ht="12.9" customHeight="1" x14ac:dyDescent="0.25">
      <c r="A4" s="102"/>
      <c r="B4" s="103" t="s">
        <v>155</v>
      </c>
      <c r="C4" s="202"/>
      <c r="D4" s="203"/>
      <c r="E4" s="203"/>
      <c r="F4" s="204"/>
      <c r="G4" s="101"/>
      <c r="H4" s="205"/>
      <c r="I4" s="206"/>
      <c r="J4" s="103"/>
    </row>
    <row r="5" spans="1:17" ht="12.9" customHeight="1" x14ac:dyDescent="0.25">
      <c r="A5" s="102"/>
      <c r="B5" s="103" t="s">
        <v>41</v>
      </c>
      <c r="C5" s="207"/>
      <c r="D5" s="208"/>
      <c r="E5" s="208"/>
      <c r="F5" s="209"/>
      <c r="G5" s="101"/>
      <c r="H5" s="101"/>
      <c r="I5" s="104"/>
      <c r="J5" s="104"/>
    </row>
    <row r="6" spans="1:17" ht="12.9" customHeight="1" x14ac:dyDescent="0.25">
      <c r="A6" s="101"/>
      <c r="B6" s="105" t="s">
        <v>42</v>
      </c>
      <c r="C6" s="207"/>
      <c r="D6" s="208"/>
      <c r="E6" s="208"/>
      <c r="F6" s="209"/>
      <c r="G6" s="101"/>
      <c r="H6" s="101"/>
      <c r="I6" s="97"/>
      <c r="J6" s="97"/>
    </row>
    <row r="7" spans="1:17" ht="12.9" customHeight="1" x14ac:dyDescent="0.25">
      <c r="A7" s="197" t="s">
        <v>43</v>
      </c>
      <c r="B7" s="197"/>
      <c r="C7" s="210"/>
      <c r="D7" s="210"/>
      <c r="E7" s="210"/>
      <c r="F7" s="210"/>
      <c r="G7" s="197"/>
      <c r="H7" s="197"/>
      <c r="I7" s="197"/>
      <c r="J7" s="98"/>
    </row>
    <row r="8" spans="1:17" ht="62.25" customHeight="1" x14ac:dyDescent="0.25">
      <c r="A8" s="211"/>
      <c r="B8" s="211"/>
      <c r="C8" s="211"/>
      <c r="D8" s="211"/>
      <c r="E8" s="211"/>
      <c r="F8" s="211"/>
      <c r="G8" s="211"/>
      <c r="H8" s="211"/>
      <c r="I8" s="211"/>
      <c r="J8" s="98"/>
    </row>
    <row r="9" spans="1:17" ht="12.9" customHeight="1" x14ac:dyDescent="0.25">
      <c r="A9" s="197" t="s">
        <v>44</v>
      </c>
      <c r="B9" s="197"/>
      <c r="C9" s="197"/>
      <c r="D9" s="197"/>
      <c r="E9" s="197"/>
      <c r="F9" s="197"/>
      <c r="G9" s="197"/>
      <c r="H9" s="197"/>
      <c r="I9" s="197"/>
      <c r="J9" s="98"/>
    </row>
    <row r="10" spans="1:17" ht="42.9" customHeight="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98"/>
    </row>
    <row r="11" spans="1:17" ht="21" customHeight="1" x14ac:dyDescent="0.25">
      <c r="A11" s="106" t="s">
        <v>45</v>
      </c>
      <c r="B11" s="107" t="s">
        <v>46</v>
      </c>
      <c r="C11" s="108" t="s">
        <v>47</v>
      </c>
      <c r="D11" s="109" t="s">
        <v>48</v>
      </c>
      <c r="E11" s="110" t="s">
        <v>49</v>
      </c>
      <c r="F11" s="110" t="s">
        <v>29</v>
      </c>
      <c r="G11" s="110" t="s">
        <v>50</v>
      </c>
      <c r="H11" s="111" t="s">
        <v>51</v>
      </c>
      <c r="I11" s="110" t="s">
        <v>156</v>
      </c>
      <c r="J11" s="112" t="s">
        <v>52</v>
      </c>
      <c r="K11" s="112" t="s">
        <v>53</v>
      </c>
      <c r="L11" s="199" t="s">
        <v>54</v>
      </c>
      <c r="M11" s="200"/>
      <c r="N11" s="200"/>
      <c r="O11" s="201"/>
      <c r="P11" s="199" t="s">
        <v>55</v>
      </c>
      <c r="Q11" s="201"/>
    </row>
    <row r="12" spans="1:17" ht="24" x14ac:dyDescent="0.25">
      <c r="A12" s="113"/>
      <c r="B12" s="114"/>
      <c r="C12" s="115"/>
      <c r="D12" s="116"/>
      <c r="E12" s="117"/>
      <c r="F12" s="117"/>
      <c r="G12" s="117"/>
      <c r="H12" s="118"/>
      <c r="I12" s="119"/>
      <c r="J12" s="118"/>
      <c r="K12" s="118"/>
      <c r="L12" s="120" t="s">
        <v>56</v>
      </c>
      <c r="M12" s="120" t="s">
        <v>57</v>
      </c>
      <c r="N12" s="120" t="s">
        <v>58</v>
      </c>
      <c r="O12" s="120" t="s">
        <v>59</v>
      </c>
      <c r="P12" s="120" t="s">
        <v>60</v>
      </c>
      <c r="Q12" s="120" t="s">
        <v>61</v>
      </c>
    </row>
    <row r="13" spans="1:17" ht="24.9" customHeight="1" x14ac:dyDescent="0.25">
      <c r="A13" s="121"/>
      <c r="B13" s="122"/>
      <c r="C13" s="123"/>
      <c r="D13" s="124"/>
      <c r="E13" s="125"/>
      <c r="F13" s="125"/>
      <c r="G13" s="125"/>
      <c r="H13" s="126"/>
      <c r="I13" s="125"/>
      <c r="J13" s="126"/>
      <c r="K13" s="126"/>
      <c r="L13" s="125"/>
      <c r="M13" s="126"/>
      <c r="N13" s="126"/>
      <c r="O13" s="126"/>
      <c r="P13" s="126"/>
      <c r="Q13" s="126"/>
    </row>
    <row r="14" spans="1:17" s="98" customFormat="1" ht="28.5" customHeight="1" x14ac:dyDescent="0.25">
      <c r="A14" s="127"/>
      <c r="B14" s="128"/>
      <c r="C14" s="129"/>
      <c r="D14" s="130"/>
      <c r="E14" s="131"/>
      <c r="F14" s="132"/>
      <c r="G14" s="133" t="e">
        <f>SUM(E14/F14)</f>
        <v>#DIV/0!</v>
      </c>
      <c r="H14" s="134"/>
      <c r="I14" s="134"/>
      <c r="J14" s="135"/>
      <c r="K14" s="136"/>
      <c r="L14" s="134"/>
      <c r="M14" s="135"/>
      <c r="N14" s="135"/>
      <c r="O14" s="135"/>
      <c r="P14" s="135"/>
      <c r="Q14" s="135"/>
    </row>
    <row r="15" spans="1:17" s="98" customFormat="1" ht="27.75" customHeight="1" x14ac:dyDescent="0.25">
      <c r="A15" s="137"/>
      <c r="B15" s="138"/>
      <c r="C15" s="139"/>
      <c r="D15" s="140"/>
      <c r="E15" s="140"/>
      <c r="F15" s="141"/>
      <c r="G15" s="133" t="e">
        <f t="shared" ref="G15:G23" si="0">SUM(E15/F15)</f>
        <v>#DIV/0!</v>
      </c>
      <c r="H15" s="134"/>
      <c r="I15" s="142"/>
      <c r="J15" s="142"/>
      <c r="K15" s="140"/>
      <c r="L15" s="135"/>
      <c r="M15" s="135"/>
      <c r="N15" s="135"/>
      <c r="O15" s="135"/>
      <c r="P15" s="135"/>
      <c r="Q15" s="135"/>
    </row>
    <row r="16" spans="1:17" s="98" customFormat="1" ht="27.75" customHeight="1" x14ac:dyDescent="0.25">
      <c r="A16" s="143"/>
      <c r="B16" s="144"/>
      <c r="C16" s="145"/>
      <c r="D16" s="140"/>
      <c r="E16" s="140"/>
      <c r="F16" s="141"/>
      <c r="G16" s="133" t="e">
        <f t="shared" si="0"/>
        <v>#DIV/0!</v>
      </c>
      <c r="H16" s="134"/>
      <c r="I16" s="142"/>
      <c r="J16" s="142"/>
      <c r="K16" s="140"/>
      <c r="L16" s="135"/>
      <c r="M16" s="135"/>
      <c r="N16" s="135"/>
      <c r="O16" s="135"/>
      <c r="P16" s="135"/>
      <c r="Q16" s="135"/>
    </row>
    <row r="17" spans="1:17" s="98" customFormat="1" ht="27.75" customHeight="1" x14ac:dyDescent="0.25">
      <c r="A17" s="144"/>
      <c r="B17" s="146"/>
      <c r="C17" s="145"/>
      <c r="D17" s="140"/>
      <c r="E17" s="140"/>
      <c r="F17" s="141"/>
      <c r="G17" s="133" t="e">
        <f t="shared" si="0"/>
        <v>#DIV/0!</v>
      </c>
      <c r="H17" s="134"/>
      <c r="I17" s="142"/>
      <c r="J17" s="142"/>
      <c r="K17" s="140"/>
      <c r="L17" s="135"/>
      <c r="M17" s="135"/>
      <c r="N17" s="135"/>
      <c r="O17" s="135"/>
      <c r="P17" s="135"/>
      <c r="Q17" s="135"/>
    </row>
    <row r="18" spans="1:17" s="98" customFormat="1" ht="24.9" customHeight="1" x14ac:dyDescent="0.25">
      <c r="A18" s="143"/>
      <c r="B18" s="146"/>
      <c r="C18" s="147"/>
      <c r="D18" s="140"/>
      <c r="E18" s="134"/>
      <c r="F18" s="148"/>
      <c r="G18" s="133" t="e">
        <f t="shared" si="0"/>
        <v>#DIV/0!</v>
      </c>
      <c r="H18" s="134"/>
      <c r="I18" s="134"/>
      <c r="J18" s="140"/>
      <c r="K18" s="140"/>
      <c r="L18" s="134"/>
      <c r="M18" s="135"/>
      <c r="N18" s="135"/>
      <c r="O18" s="135"/>
      <c r="P18" s="135"/>
      <c r="Q18" s="135"/>
    </row>
    <row r="19" spans="1:17" s="98" customFormat="1" ht="35.25" customHeight="1" x14ac:dyDescent="0.25">
      <c r="A19" s="143"/>
      <c r="B19" s="149"/>
      <c r="C19" s="145"/>
      <c r="D19" s="140"/>
      <c r="E19" s="134"/>
      <c r="F19" s="148"/>
      <c r="G19" s="133" t="e">
        <f t="shared" si="0"/>
        <v>#DIV/0!</v>
      </c>
      <c r="H19" s="134"/>
      <c r="I19" s="134"/>
      <c r="J19" s="140"/>
      <c r="K19" s="140"/>
      <c r="L19" s="134"/>
      <c r="M19" s="135"/>
      <c r="N19" s="135"/>
      <c r="O19" s="135"/>
      <c r="P19" s="135"/>
      <c r="Q19" s="135"/>
    </row>
    <row r="20" spans="1:17" s="98" customFormat="1" ht="27.75" customHeight="1" x14ac:dyDescent="0.25">
      <c r="A20" s="150"/>
      <c r="B20" s="151"/>
      <c r="C20" s="152"/>
      <c r="D20" s="140"/>
      <c r="E20" s="140"/>
      <c r="F20" s="141"/>
      <c r="G20" s="133" t="e">
        <f t="shared" si="0"/>
        <v>#DIV/0!</v>
      </c>
      <c r="H20" s="134"/>
      <c r="I20" s="142"/>
      <c r="J20" s="142"/>
      <c r="K20" s="140"/>
      <c r="L20" s="135"/>
      <c r="M20" s="135"/>
      <c r="N20" s="135"/>
      <c r="O20" s="135"/>
      <c r="P20" s="135"/>
      <c r="Q20" s="135"/>
    </row>
    <row r="21" spans="1:17" s="98" customFormat="1" ht="27.75" customHeight="1" x14ac:dyDescent="0.25">
      <c r="A21" s="153"/>
      <c r="B21" s="135"/>
      <c r="C21" s="153"/>
      <c r="D21" s="140"/>
      <c r="E21" s="140"/>
      <c r="F21" s="140"/>
      <c r="G21" s="133" t="e">
        <f t="shared" si="0"/>
        <v>#DIV/0!</v>
      </c>
      <c r="H21" s="142"/>
      <c r="I21" s="142"/>
      <c r="J21" s="142"/>
      <c r="K21" s="136"/>
      <c r="L21" s="135"/>
      <c r="M21" s="135"/>
      <c r="N21" s="135"/>
      <c r="O21" s="135"/>
      <c r="P21" s="135"/>
      <c r="Q21" s="135"/>
    </row>
    <row r="22" spans="1:17" s="98" customFormat="1" ht="27.75" customHeight="1" x14ac:dyDescent="0.25">
      <c r="A22" s="153"/>
      <c r="B22" s="135"/>
      <c r="C22" s="153"/>
      <c r="D22" s="140"/>
      <c r="E22" s="140"/>
      <c r="F22" s="140"/>
      <c r="G22" s="133" t="e">
        <f t="shared" si="0"/>
        <v>#DIV/0!</v>
      </c>
      <c r="H22" s="142"/>
      <c r="I22" s="142"/>
      <c r="J22" s="142"/>
      <c r="K22" s="136"/>
      <c r="L22" s="135"/>
      <c r="M22" s="135"/>
      <c r="N22" s="135"/>
      <c r="O22" s="135"/>
      <c r="P22" s="135"/>
      <c r="Q22" s="135"/>
    </row>
    <row r="23" spans="1:17" s="98" customFormat="1" ht="27.75" customHeight="1" x14ac:dyDescent="0.25">
      <c r="A23" s="153"/>
      <c r="B23" s="135"/>
      <c r="C23" s="153"/>
      <c r="D23" s="140"/>
      <c r="E23" s="140"/>
      <c r="F23" s="140"/>
      <c r="G23" s="133" t="e">
        <f t="shared" si="0"/>
        <v>#DIV/0!</v>
      </c>
      <c r="H23" s="142"/>
      <c r="I23" s="142"/>
      <c r="J23" s="142"/>
      <c r="K23" s="136"/>
      <c r="L23" s="135"/>
      <c r="M23" s="135"/>
      <c r="N23" s="135"/>
      <c r="O23" s="135"/>
      <c r="P23" s="135"/>
      <c r="Q23" s="135"/>
    </row>
    <row r="24" spans="1:17" s="98" customFormat="1" ht="24.9" customHeight="1" x14ac:dyDescent="0.25">
      <c r="A24" s="154"/>
      <c r="B24" s="155"/>
      <c r="C24" s="156"/>
      <c r="D24" s="157"/>
      <c r="E24" s="157"/>
      <c r="F24" s="158"/>
      <c r="G24" s="159"/>
      <c r="H24" s="160"/>
      <c r="I24" s="158"/>
      <c r="J24" s="157"/>
      <c r="K24" s="157"/>
      <c r="L24" s="158"/>
      <c r="M24" s="157"/>
      <c r="N24" s="157"/>
      <c r="O24" s="157"/>
      <c r="P24" s="157"/>
      <c r="Q24" s="157"/>
    </row>
    <row r="25" spans="1:17" s="98" customFormat="1" ht="24.9" customHeight="1" x14ac:dyDescent="0.25">
      <c r="A25" s="144"/>
      <c r="B25" s="161"/>
      <c r="C25" s="145"/>
      <c r="D25" s="162"/>
      <c r="E25" s="145"/>
      <c r="F25" s="163"/>
      <c r="G25" s="133" t="e">
        <f t="shared" ref="G25:G27" si="1">SUM(E25/F25)</f>
        <v>#DIV/0!</v>
      </c>
      <c r="H25" s="134"/>
      <c r="I25" s="134"/>
      <c r="J25" s="164"/>
      <c r="K25" s="164"/>
      <c r="L25" s="134"/>
      <c r="M25" s="165"/>
      <c r="N25" s="165"/>
      <c r="O25" s="165"/>
      <c r="P25" s="165"/>
      <c r="Q25" s="165"/>
    </row>
    <row r="26" spans="1:17" s="98" customFormat="1" ht="24.9" customHeight="1" x14ac:dyDescent="0.25">
      <c r="A26" s="144"/>
      <c r="B26" s="161"/>
      <c r="C26" s="145"/>
      <c r="D26" s="162"/>
      <c r="E26" s="145"/>
      <c r="F26" s="163"/>
      <c r="G26" s="133" t="e">
        <f t="shared" si="1"/>
        <v>#DIV/0!</v>
      </c>
      <c r="H26" s="134"/>
      <c r="I26" s="134"/>
      <c r="J26" s="165"/>
      <c r="K26" s="164"/>
      <c r="L26" s="134"/>
      <c r="M26" s="165"/>
      <c r="N26" s="165"/>
      <c r="O26" s="165"/>
      <c r="P26" s="165"/>
      <c r="Q26" s="165"/>
    </row>
    <row r="27" spans="1:17" s="98" customFormat="1" ht="24.9" customHeight="1" x14ac:dyDescent="0.25">
      <c r="A27" s="144"/>
      <c r="B27" s="161"/>
      <c r="C27" s="145"/>
      <c r="D27" s="162"/>
      <c r="E27" s="145"/>
      <c r="F27" s="163"/>
      <c r="G27" s="133" t="e">
        <f t="shared" si="1"/>
        <v>#DIV/0!</v>
      </c>
      <c r="H27" s="134"/>
      <c r="I27" s="134"/>
      <c r="J27" s="165"/>
      <c r="K27" s="164"/>
      <c r="L27" s="134"/>
      <c r="M27" s="165"/>
      <c r="N27" s="165"/>
      <c r="O27" s="165"/>
      <c r="P27" s="165"/>
      <c r="Q27" s="165"/>
    </row>
    <row r="28" spans="1:17" s="98" customFormat="1" ht="27.75" customHeight="1" x14ac:dyDescent="0.25">
      <c r="A28" s="166"/>
      <c r="B28" s="167"/>
      <c r="C28" s="168"/>
      <c r="D28" s="169"/>
      <c r="E28" s="170"/>
      <c r="F28" s="171"/>
      <c r="G28" s="172"/>
      <c r="H28" s="168"/>
      <c r="I28" s="168"/>
      <c r="J28" s="173"/>
      <c r="K28" s="173"/>
      <c r="L28" s="168"/>
      <c r="M28" s="173"/>
      <c r="N28" s="173"/>
      <c r="O28" s="173"/>
      <c r="P28" s="173"/>
      <c r="Q28" s="173"/>
    </row>
    <row r="29" spans="1:17" s="98" customFormat="1" ht="27.75" customHeight="1" x14ac:dyDescent="0.25">
      <c r="A29" s="174"/>
      <c r="B29" s="175"/>
      <c r="C29" s="134"/>
      <c r="D29" s="176"/>
      <c r="E29" s="134"/>
      <c r="F29" s="177"/>
      <c r="G29" s="133" t="e">
        <f t="shared" ref="G29:G41" si="2">SUM(E29/F29)</f>
        <v>#DIV/0!</v>
      </c>
      <c r="H29" s="134"/>
      <c r="I29" s="134"/>
      <c r="J29" s="134"/>
      <c r="K29" s="140"/>
      <c r="L29" s="135"/>
      <c r="M29" s="135"/>
      <c r="N29" s="135"/>
      <c r="O29" s="135"/>
      <c r="P29" s="135"/>
      <c r="Q29" s="135"/>
    </row>
    <row r="30" spans="1:17" s="98" customFormat="1" ht="27.75" customHeight="1" x14ac:dyDescent="0.25">
      <c r="A30" s="174"/>
      <c r="B30" s="175"/>
      <c r="C30" s="134"/>
      <c r="D30" s="176"/>
      <c r="E30" s="134"/>
      <c r="F30" s="177"/>
      <c r="G30" s="133" t="e">
        <f t="shared" si="2"/>
        <v>#DIV/0!</v>
      </c>
      <c r="H30" s="177"/>
      <c r="I30" s="134"/>
      <c r="J30" s="134"/>
      <c r="K30" s="140"/>
      <c r="L30" s="135"/>
      <c r="M30" s="135"/>
      <c r="N30" s="135"/>
      <c r="O30" s="135"/>
      <c r="P30" s="135"/>
      <c r="Q30" s="135"/>
    </row>
    <row r="31" spans="1:17" s="98" customFormat="1" ht="27.75" customHeight="1" x14ac:dyDescent="0.25">
      <c r="A31" s="153"/>
      <c r="B31" s="135"/>
      <c r="C31" s="153"/>
      <c r="D31" s="178"/>
      <c r="E31" s="140"/>
      <c r="F31" s="179"/>
      <c r="G31" s="133" t="e">
        <f t="shared" si="2"/>
        <v>#DIV/0!</v>
      </c>
      <c r="H31" s="140"/>
      <c r="I31" s="142"/>
      <c r="J31" s="142"/>
      <c r="K31" s="140"/>
      <c r="L31" s="135"/>
      <c r="M31" s="135"/>
      <c r="N31" s="135"/>
      <c r="O31" s="135"/>
      <c r="P31" s="135"/>
      <c r="Q31" s="135"/>
    </row>
    <row r="32" spans="1:17" s="98" customFormat="1" ht="27.75" customHeight="1" x14ac:dyDescent="0.25">
      <c r="A32" s="153"/>
      <c r="B32" s="135"/>
      <c r="C32" s="153"/>
      <c r="D32" s="140"/>
      <c r="E32" s="140"/>
      <c r="F32" s="140"/>
      <c r="G32" s="133" t="e">
        <f t="shared" si="2"/>
        <v>#DIV/0!</v>
      </c>
      <c r="H32" s="142"/>
      <c r="I32" s="142"/>
      <c r="J32" s="142"/>
      <c r="K32" s="135"/>
      <c r="L32" s="135"/>
      <c r="M32" s="135"/>
      <c r="N32" s="135"/>
      <c r="O32" s="135"/>
      <c r="P32" s="135"/>
      <c r="Q32" s="135"/>
    </row>
    <row r="33" spans="1:17" s="98" customFormat="1" ht="27.75" customHeight="1" x14ac:dyDescent="0.25">
      <c r="A33" s="180"/>
      <c r="B33" s="181"/>
      <c r="C33" s="180"/>
      <c r="D33" s="182"/>
      <c r="E33" s="182"/>
      <c r="F33" s="182"/>
      <c r="G33" s="133" t="e">
        <f t="shared" si="2"/>
        <v>#DIV/0!</v>
      </c>
      <c r="H33" s="183"/>
      <c r="I33" s="183"/>
      <c r="J33" s="183"/>
      <c r="K33" s="181"/>
      <c r="L33" s="181"/>
      <c r="M33" s="181"/>
      <c r="N33" s="181"/>
      <c r="O33" s="181"/>
      <c r="P33" s="181"/>
      <c r="Q33" s="181"/>
    </row>
    <row r="34" spans="1:17" s="98" customFormat="1" ht="27.75" customHeight="1" x14ac:dyDescent="0.25">
      <c r="A34" s="153"/>
      <c r="B34" s="135"/>
      <c r="C34" s="153"/>
      <c r="D34" s="140"/>
      <c r="E34" s="140"/>
      <c r="F34" s="140"/>
      <c r="G34" s="133" t="e">
        <f t="shared" si="2"/>
        <v>#DIV/0!</v>
      </c>
      <c r="H34" s="142"/>
      <c r="I34" s="142"/>
      <c r="J34" s="142"/>
      <c r="K34" s="135"/>
      <c r="L34" s="135"/>
      <c r="M34" s="135"/>
      <c r="N34" s="135"/>
      <c r="O34" s="135"/>
      <c r="P34" s="135"/>
      <c r="Q34" s="135"/>
    </row>
    <row r="35" spans="1:17" s="98" customFormat="1" ht="27.75" customHeight="1" x14ac:dyDescent="0.25">
      <c r="A35" s="153"/>
      <c r="B35" s="135"/>
      <c r="C35" s="153"/>
      <c r="D35" s="140"/>
      <c r="E35" s="140"/>
      <c r="F35" s="140"/>
      <c r="G35" s="133" t="e">
        <f t="shared" si="2"/>
        <v>#DIV/0!</v>
      </c>
      <c r="H35" s="142"/>
      <c r="I35" s="142"/>
      <c r="J35" s="142"/>
      <c r="K35" s="135"/>
      <c r="L35" s="135"/>
      <c r="M35" s="135"/>
      <c r="N35" s="135"/>
      <c r="O35" s="135"/>
      <c r="P35" s="135"/>
      <c r="Q35" s="135"/>
    </row>
    <row r="36" spans="1:17" s="98" customFormat="1" ht="27.75" customHeight="1" x14ac:dyDescent="0.25">
      <c r="A36" s="153"/>
      <c r="B36" s="135"/>
      <c r="C36" s="153"/>
      <c r="D36" s="140"/>
      <c r="E36" s="140"/>
      <c r="F36" s="140"/>
      <c r="G36" s="133" t="e">
        <f t="shared" si="2"/>
        <v>#DIV/0!</v>
      </c>
      <c r="H36" s="142"/>
      <c r="I36" s="142"/>
      <c r="J36" s="142"/>
      <c r="K36" s="135"/>
      <c r="L36" s="135"/>
      <c r="M36" s="135"/>
      <c r="N36" s="135"/>
      <c r="O36" s="135"/>
      <c r="P36" s="135"/>
      <c r="Q36" s="135"/>
    </row>
    <row r="37" spans="1:17" s="98" customFormat="1" ht="27.75" customHeight="1" x14ac:dyDescent="0.25">
      <c r="A37" s="153"/>
      <c r="B37" s="135"/>
      <c r="C37" s="153"/>
      <c r="D37" s="140"/>
      <c r="E37" s="140"/>
      <c r="F37" s="140"/>
      <c r="G37" s="133" t="e">
        <f t="shared" si="2"/>
        <v>#DIV/0!</v>
      </c>
      <c r="H37" s="142"/>
      <c r="I37" s="142"/>
      <c r="J37" s="142"/>
      <c r="K37" s="135"/>
      <c r="L37" s="135"/>
      <c r="M37" s="135"/>
      <c r="N37" s="135"/>
      <c r="O37" s="135"/>
      <c r="P37" s="135"/>
      <c r="Q37" s="135"/>
    </row>
    <row r="38" spans="1:17" s="98" customFormat="1" ht="27.75" customHeight="1" x14ac:dyDescent="0.25">
      <c r="A38" s="153"/>
      <c r="B38" s="135"/>
      <c r="C38" s="153"/>
      <c r="D38" s="140"/>
      <c r="E38" s="140"/>
      <c r="F38" s="140"/>
      <c r="G38" s="133" t="e">
        <f t="shared" si="2"/>
        <v>#DIV/0!</v>
      </c>
      <c r="H38" s="142"/>
      <c r="I38" s="142"/>
      <c r="J38" s="142"/>
      <c r="K38" s="135"/>
      <c r="L38" s="135"/>
      <c r="M38" s="135"/>
      <c r="N38" s="135"/>
      <c r="O38" s="135"/>
      <c r="P38" s="135"/>
      <c r="Q38" s="135"/>
    </row>
    <row r="39" spans="1:17" s="98" customFormat="1" ht="27.75" customHeight="1" x14ac:dyDescent="0.25">
      <c r="A39" s="153"/>
      <c r="B39" s="135"/>
      <c r="C39" s="153"/>
      <c r="D39" s="140"/>
      <c r="E39" s="140"/>
      <c r="F39" s="140"/>
      <c r="G39" s="133" t="e">
        <f t="shared" si="2"/>
        <v>#DIV/0!</v>
      </c>
      <c r="H39" s="142"/>
      <c r="I39" s="142"/>
      <c r="J39" s="142"/>
      <c r="K39" s="135"/>
      <c r="L39" s="135"/>
      <c r="M39" s="135"/>
      <c r="N39" s="135"/>
      <c r="O39" s="135"/>
      <c r="P39" s="135"/>
      <c r="Q39" s="135"/>
    </row>
    <row r="40" spans="1:17" s="98" customFormat="1" ht="27.75" customHeight="1" x14ac:dyDescent="0.25">
      <c r="A40" s="153"/>
      <c r="B40" s="135"/>
      <c r="C40" s="153"/>
      <c r="D40" s="140"/>
      <c r="E40" s="140"/>
      <c r="F40" s="140"/>
      <c r="G40" s="133" t="e">
        <f t="shared" si="2"/>
        <v>#DIV/0!</v>
      </c>
      <c r="H40" s="142"/>
      <c r="I40" s="142"/>
      <c r="J40" s="142"/>
      <c r="K40" s="135"/>
      <c r="L40" s="135"/>
      <c r="M40" s="135"/>
      <c r="N40" s="135"/>
      <c r="O40" s="135"/>
      <c r="P40" s="135"/>
      <c r="Q40" s="135"/>
    </row>
    <row r="41" spans="1:17" s="98" customFormat="1" ht="27.75" customHeight="1" x14ac:dyDescent="0.25">
      <c r="A41" s="153"/>
      <c r="B41" s="135"/>
      <c r="C41" s="153"/>
      <c r="D41" s="140"/>
      <c r="E41" s="140"/>
      <c r="F41" s="140"/>
      <c r="G41" s="133" t="e">
        <f t="shared" si="2"/>
        <v>#DIV/0!</v>
      </c>
      <c r="H41" s="142"/>
      <c r="I41" s="142"/>
      <c r="J41" s="142"/>
      <c r="K41" s="135"/>
      <c r="L41" s="135"/>
      <c r="M41" s="135"/>
      <c r="N41" s="135"/>
      <c r="O41" s="135"/>
      <c r="P41" s="135"/>
      <c r="Q41" s="135"/>
    </row>
    <row r="42" spans="1:17" s="98" customFormat="1" ht="27.75" customHeight="1" x14ac:dyDescent="0.25">
      <c r="A42" s="184"/>
      <c r="C42" s="184"/>
      <c r="D42" s="96"/>
      <c r="E42" s="96"/>
      <c r="F42" s="96"/>
      <c r="G42" s="96"/>
      <c r="H42" s="97"/>
      <c r="I42" s="97"/>
      <c r="J42" s="97"/>
    </row>
    <row r="43" spans="1:17" s="98" customFormat="1" ht="27.75" customHeight="1" x14ac:dyDescent="0.25">
      <c r="A43" s="184"/>
      <c r="C43" s="184"/>
      <c r="D43" s="96"/>
      <c r="E43" s="96"/>
      <c r="F43" s="96"/>
      <c r="G43" s="96"/>
      <c r="H43" s="97"/>
      <c r="I43" s="97"/>
      <c r="J43" s="97"/>
    </row>
    <row r="44" spans="1:17" s="98" customFormat="1" ht="27.75" customHeight="1" x14ac:dyDescent="0.25">
      <c r="A44" s="184"/>
      <c r="C44" s="184"/>
      <c r="D44" s="96"/>
      <c r="E44" s="96"/>
      <c r="F44" s="96"/>
      <c r="G44" s="96"/>
      <c r="H44" s="97"/>
      <c r="I44" s="97"/>
      <c r="J44" s="97"/>
    </row>
    <row r="45" spans="1:17" s="98" customFormat="1" ht="27.75" customHeight="1" x14ac:dyDescent="0.25">
      <c r="A45" s="184"/>
      <c r="C45" s="184"/>
      <c r="D45" s="96"/>
      <c r="E45" s="96"/>
      <c r="F45" s="96"/>
      <c r="G45" s="96"/>
      <c r="H45" s="97"/>
      <c r="I45" s="97"/>
      <c r="J45" s="97"/>
    </row>
    <row r="46" spans="1:17" s="98" customFormat="1" ht="27.75" customHeight="1" x14ac:dyDescent="0.25">
      <c r="A46" s="184"/>
      <c r="C46" s="184"/>
      <c r="D46" s="96"/>
      <c r="E46" s="96"/>
      <c r="F46" s="96"/>
      <c r="G46" s="96"/>
      <c r="H46" s="97"/>
      <c r="I46" s="97"/>
      <c r="J46" s="97"/>
    </row>
    <row r="47" spans="1:17" s="98" customFormat="1" ht="27.75" customHeight="1" x14ac:dyDescent="0.25">
      <c r="A47" s="184"/>
      <c r="C47" s="184"/>
      <c r="D47" s="96"/>
      <c r="E47" s="96"/>
      <c r="F47" s="96"/>
      <c r="G47" s="96"/>
      <c r="H47" s="97"/>
      <c r="I47" s="97"/>
      <c r="J47" s="97"/>
    </row>
    <row r="48" spans="1:17" s="98" customFormat="1" ht="27.75" customHeight="1" x14ac:dyDescent="0.25">
      <c r="A48" s="184"/>
      <c r="C48" s="184"/>
      <c r="D48" s="96"/>
      <c r="E48" s="96"/>
      <c r="F48" s="96"/>
      <c r="G48" s="96"/>
      <c r="H48" s="97"/>
      <c r="I48" s="97"/>
      <c r="J48" s="97"/>
    </row>
    <row r="49" spans="1:10" s="98" customFormat="1" ht="27.75" customHeight="1" x14ac:dyDescent="0.25">
      <c r="A49" s="184"/>
      <c r="C49" s="184"/>
      <c r="D49" s="96"/>
      <c r="E49" s="96"/>
      <c r="F49" s="96"/>
      <c r="G49" s="96"/>
      <c r="H49" s="97"/>
      <c r="I49" s="97"/>
      <c r="J49" s="97"/>
    </row>
    <row r="50" spans="1:10" s="98" customFormat="1" ht="27.75" customHeight="1" x14ac:dyDescent="0.25">
      <c r="A50" s="184"/>
      <c r="C50" s="184"/>
      <c r="D50" s="96"/>
      <c r="E50" s="96"/>
      <c r="F50" s="96"/>
      <c r="G50" s="96"/>
      <c r="H50" s="97"/>
      <c r="I50" s="97"/>
      <c r="J50" s="97"/>
    </row>
    <row r="51" spans="1:10" s="98" customFormat="1" ht="12.75" customHeight="1" x14ac:dyDescent="0.25">
      <c r="A51" s="184"/>
      <c r="C51" s="184"/>
      <c r="D51" s="96"/>
      <c r="E51" s="96"/>
      <c r="F51" s="96"/>
      <c r="G51" s="96"/>
      <c r="H51" s="97"/>
      <c r="I51" s="97"/>
      <c r="J51" s="97"/>
    </row>
    <row r="52" spans="1:10" s="98" customFormat="1" ht="12.75" customHeight="1" x14ac:dyDescent="0.25">
      <c r="A52" s="184"/>
      <c r="C52" s="184"/>
      <c r="D52" s="96"/>
      <c r="E52" s="96"/>
      <c r="F52" s="96"/>
      <c r="G52" s="96"/>
      <c r="H52" s="97"/>
      <c r="I52" s="97"/>
      <c r="J52" s="97"/>
    </row>
    <row r="53" spans="1:10" s="98" customFormat="1" ht="12.75" customHeight="1" x14ac:dyDescent="0.25">
      <c r="A53" s="184"/>
      <c r="C53" s="184"/>
      <c r="D53" s="96"/>
      <c r="E53" s="96"/>
      <c r="F53" s="96"/>
      <c r="G53" s="96"/>
      <c r="H53" s="97"/>
      <c r="I53" s="97"/>
      <c r="J53" s="97"/>
    </row>
    <row r="54" spans="1:10" s="98" customFormat="1" ht="12.75" customHeight="1" x14ac:dyDescent="0.25">
      <c r="A54" s="184"/>
      <c r="C54" s="184"/>
      <c r="D54" s="96"/>
      <c r="E54" s="96"/>
      <c r="F54" s="96"/>
      <c r="G54" s="96"/>
      <c r="H54" s="97"/>
      <c r="I54" s="97"/>
      <c r="J54" s="97"/>
    </row>
    <row r="55" spans="1:10" s="98" customFormat="1" ht="12.75" customHeight="1" x14ac:dyDescent="0.25">
      <c r="A55" s="184"/>
      <c r="C55" s="184"/>
      <c r="D55" s="96"/>
      <c r="E55" s="96"/>
      <c r="F55" s="96"/>
      <c r="G55" s="96"/>
      <c r="H55" s="97"/>
      <c r="I55" s="97"/>
      <c r="J55" s="97"/>
    </row>
    <row r="56" spans="1:10" s="98" customFormat="1" ht="12.75" customHeight="1" x14ac:dyDescent="0.25">
      <c r="A56" s="184"/>
      <c r="C56" s="184"/>
      <c r="D56" s="96"/>
      <c r="E56" s="96"/>
      <c r="F56" s="96"/>
      <c r="G56" s="96"/>
      <c r="H56" s="97"/>
      <c r="I56" s="97"/>
      <c r="J56" s="97"/>
    </row>
    <row r="57" spans="1:10" s="98" customFormat="1" ht="12.75" customHeight="1" x14ac:dyDescent="0.25">
      <c r="A57" s="184"/>
      <c r="C57" s="184"/>
      <c r="D57" s="96"/>
      <c r="E57" s="96"/>
      <c r="F57" s="96"/>
      <c r="G57" s="96"/>
      <c r="H57" s="97"/>
      <c r="I57" s="97"/>
      <c r="J57" s="97"/>
    </row>
    <row r="58" spans="1:10" s="98" customFormat="1" ht="12.75" customHeight="1" x14ac:dyDescent="0.25">
      <c r="A58" s="184"/>
      <c r="C58" s="184"/>
      <c r="D58" s="96"/>
      <c r="E58" s="96"/>
      <c r="F58" s="96"/>
      <c r="G58" s="96"/>
      <c r="H58" s="97"/>
      <c r="I58" s="97"/>
      <c r="J58" s="97"/>
    </row>
    <row r="59" spans="1:10" s="98" customFormat="1" ht="12.75" customHeight="1" x14ac:dyDescent="0.25">
      <c r="A59" s="184"/>
      <c r="C59" s="184"/>
      <c r="D59" s="96"/>
      <c r="E59" s="96"/>
      <c r="F59" s="96"/>
      <c r="G59" s="96"/>
      <c r="H59" s="97"/>
      <c r="I59" s="97"/>
      <c r="J59" s="97"/>
    </row>
    <row r="60" spans="1:10" s="98" customFormat="1" ht="12.75" customHeight="1" x14ac:dyDescent="0.25">
      <c r="A60" s="184"/>
      <c r="C60" s="184"/>
      <c r="D60" s="96"/>
      <c r="E60" s="96"/>
      <c r="F60" s="96"/>
      <c r="G60" s="96"/>
      <c r="H60" s="97"/>
      <c r="I60" s="97"/>
      <c r="J60" s="97"/>
    </row>
    <row r="61" spans="1:10" s="98" customFormat="1" ht="12.75" customHeight="1" x14ac:dyDescent="0.25">
      <c r="A61" s="184"/>
      <c r="C61" s="184"/>
      <c r="D61" s="96"/>
      <c r="E61" s="96"/>
      <c r="F61" s="96"/>
      <c r="G61" s="96"/>
      <c r="H61" s="97"/>
      <c r="I61" s="97"/>
      <c r="J61" s="97"/>
    </row>
    <row r="62" spans="1:10" s="98" customFormat="1" ht="12.75" customHeight="1" x14ac:dyDescent="0.25">
      <c r="A62" s="184"/>
      <c r="C62" s="184"/>
      <c r="D62" s="96"/>
      <c r="E62" s="96"/>
      <c r="F62" s="96"/>
      <c r="G62" s="96"/>
      <c r="H62" s="97"/>
      <c r="I62" s="97"/>
      <c r="J62" s="97"/>
    </row>
    <row r="63" spans="1:10" s="98" customFormat="1" ht="12.75" customHeight="1" x14ac:dyDescent="0.25">
      <c r="A63" s="184"/>
      <c r="C63" s="184"/>
      <c r="D63" s="96"/>
      <c r="E63" s="96"/>
      <c r="F63" s="96"/>
      <c r="G63" s="96"/>
      <c r="H63" s="97"/>
      <c r="I63" s="97"/>
      <c r="J63" s="97"/>
    </row>
    <row r="64" spans="1:10" s="98" customFormat="1" ht="12.75" customHeight="1" x14ac:dyDescent="0.25">
      <c r="A64" s="184"/>
      <c r="C64" s="184"/>
      <c r="D64" s="96"/>
      <c r="E64" s="96"/>
      <c r="F64" s="96"/>
      <c r="G64" s="96"/>
      <c r="H64" s="97"/>
      <c r="I64" s="97"/>
      <c r="J64" s="97"/>
    </row>
    <row r="65" spans="1:10" s="98" customFormat="1" ht="12.75" customHeight="1" x14ac:dyDescent="0.25">
      <c r="A65" s="184"/>
      <c r="C65" s="184"/>
      <c r="D65" s="96"/>
      <c r="E65" s="96"/>
      <c r="F65" s="96"/>
      <c r="G65" s="96"/>
      <c r="H65" s="97"/>
      <c r="I65" s="97"/>
      <c r="J65" s="97"/>
    </row>
    <row r="66" spans="1:10" s="98" customFormat="1" ht="12.75" customHeight="1" x14ac:dyDescent="0.25">
      <c r="A66" s="184"/>
      <c r="C66" s="184"/>
      <c r="D66" s="96"/>
      <c r="E66" s="96"/>
      <c r="F66" s="96"/>
      <c r="G66" s="96"/>
      <c r="H66" s="97"/>
      <c r="I66" s="97"/>
      <c r="J66" s="97"/>
    </row>
    <row r="67" spans="1:10" s="98" customFormat="1" ht="12.75" customHeight="1" x14ac:dyDescent="0.25">
      <c r="A67" s="184"/>
      <c r="C67" s="184"/>
      <c r="D67" s="96"/>
      <c r="E67" s="96"/>
      <c r="F67" s="96"/>
      <c r="G67" s="96"/>
      <c r="H67" s="97"/>
      <c r="I67" s="97"/>
      <c r="J67" s="97"/>
    </row>
    <row r="68" spans="1:10" s="98" customFormat="1" ht="12.75" customHeight="1" x14ac:dyDescent="0.25">
      <c r="A68" s="184"/>
      <c r="C68" s="184"/>
      <c r="D68" s="96"/>
      <c r="E68" s="96"/>
      <c r="F68" s="96"/>
      <c r="G68" s="96"/>
      <c r="H68" s="97"/>
      <c r="I68" s="97"/>
      <c r="J68" s="97"/>
    </row>
    <row r="69" spans="1:10" s="98" customFormat="1" ht="12.75" customHeight="1" x14ac:dyDescent="0.25">
      <c r="A69" s="184"/>
      <c r="C69" s="184"/>
      <c r="D69" s="96"/>
      <c r="E69" s="96"/>
      <c r="F69" s="96"/>
      <c r="G69" s="96"/>
      <c r="H69" s="97"/>
      <c r="I69" s="97"/>
      <c r="J69" s="97"/>
    </row>
    <row r="70" spans="1:10" s="98" customFormat="1" ht="12.75" customHeight="1" x14ac:dyDescent="0.25">
      <c r="A70" s="184"/>
      <c r="C70" s="184"/>
      <c r="D70" s="96"/>
      <c r="E70" s="96"/>
      <c r="F70" s="96"/>
      <c r="G70" s="96"/>
      <c r="H70" s="97"/>
      <c r="I70" s="97"/>
      <c r="J70" s="97"/>
    </row>
    <row r="71" spans="1:10" s="98" customFormat="1" ht="12.75" customHeight="1" x14ac:dyDescent="0.25">
      <c r="A71" s="184"/>
      <c r="C71" s="184"/>
      <c r="D71" s="96"/>
      <c r="E71" s="96"/>
      <c r="F71" s="96"/>
      <c r="G71" s="96"/>
      <c r="H71" s="97"/>
      <c r="I71" s="97"/>
      <c r="J71" s="97"/>
    </row>
    <row r="72" spans="1:10" s="98" customFormat="1" ht="12.75" customHeight="1" x14ac:dyDescent="0.25">
      <c r="A72" s="184"/>
      <c r="C72" s="184"/>
      <c r="D72" s="96"/>
      <c r="E72" s="96"/>
      <c r="F72" s="96"/>
      <c r="G72" s="96"/>
      <c r="H72" s="97"/>
      <c r="I72" s="97"/>
      <c r="J72" s="97"/>
    </row>
    <row r="73" spans="1:10" s="98" customFormat="1" ht="12.75" customHeight="1" x14ac:dyDescent="0.25">
      <c r="A73" s="184"/>
      <c r="C73" s="184"/>
      <c r="D73" s="96"/>
      <c r="E73" s="96"/>
      <c r="F73" s="96"/>
      <c r="G73" s="96"/>
      <c r="H73" s="97"/>
      <c r="I73" s="97"/>
      <c r="J73" s="97"/>
    </row>
    <row r="74" spans="1:10" s="98" customFormat="1" ht="12.75" customHeight="1" x14ac:dyDescent="0.25">
      <c r="A74" s="184"/>
      <c r="C74" s="184"/>
      <c r="D74" s="96"/>
      <c r="E74" s="96"/>
      <c r="F74" s="96"/>
      <c r="G74" s="96"/>
      <c r="H74" s="97"/>
      <c r="I74" s="97"/>
      <c r="J74" s="97"/>
    </row>
    <row r="75" spans="1:10" s="98" customFormat="1" ht="12.75" customHeight="1" x14ac:dyDescent="0.25">
      <c r="A75" s="184"/>
      <c r="C75" s="184"/>
      <c r="D75" s="96"/>
      <c r="E75" s="96"/>
      <c r="F75" s="96"/>
      <c r="G75" s="96"/>
      <c r="H75" s="97"/>
      <c r="I75" s="97"/>
      <c r="J75" s="97"/>
    </row>
    <row r="76" spans="1:10" s="98" customFormat="1" ht="12.75" customHeight="1" x14ac:dyDescent="0.25">
      <c r="A76" s="184"/>
      <c r="C76" s="184"/>
      <c r="D76" s="96"/>
      <c r="E76" s="96"/>
      <c r="F76" s="96"/>
      <c r="G76" s="96"/>
      <c r="H76" s="97"/>
      <c r="I76" s="97"/>
      <c r="J76" s="97"/>
    </row>
  </sheetData>
  <mergeCells count="10">
    <mergeCell ref="A9:I9"/>
    <mergeCell ref="A10:I10"/>
    <mergeCell ref="L11:O11"/>
    <mergeCell ref="P11:Q11"/>
    <mergeCell ref="C4:F4"/>
    <mergeCell ref="H4:I4"/>
    <mergeCell ref="C5:F5"/>
    <mergeCell ref="C6:F6"/>
    <mergeCell ref="A7:I7"/>
    <mergeCell ref="A8:I8"/>
  </mergeCells>
  <dataValidations count="6">
    <dataValidation type="list" allowBlank="1" showInputMessage="1" showErrorMessage="1" sqref="L18:L19 L14 H14:J14 L25:L28 H25:J28 I18:J19 H15:H20 H29" xr:uid="{DA05DE14-7D59-4827-BF7E-C3D7B4533EA9}">
      <formula1>"Sharepoint, WebT, Combo, Create"</formula1>
    </dataValidation>
    <dataValidation type="list" allowBlank="1" showInputMessage="1" showErrorMessage="1" sqref="L18:L19 L14 I14:J14 I18:J19 I25:J28 L25:L28" xr:uid="{07FBC434-00EB-431C-90B8-A7AB1335992F}">
      <formula1>"Y, N"</formula1>
    </dataValidation>
    <dataValidation type="list" allowBlank="1" showInputMessage="1" showErrorMessage="1" sqref="I29:J30" xr:uid="{AD30F2A2-BD92-4C1C-AB3C-83A81FBDC07F}">
      <formula1>"Combo, Create, Edit"</formula1>
    </dataValidation>
    <dataValidation allowBlank="1" showInputMessage="1" showErrorMessage="1" sqref="D11" xr:uid="{B8DA6C69-CF07-4428-8688-914D994CD447}"/>
    <dataValidation type="list" allowBlank="1" showInputMessage="1" showErrorMessage="1" sqref="C14:C20 C25:C28" xr:uid="{08170FFC-3C82-4882-8888-B02C42744BFA}">
      <formula1>"Vegan, Vegetarian"</formula1>
    </dataValidation>
    <dataValidation type="custom" allowBlank="1" showInputMessage="1" showErrorMessage="1" sqref="C29:C30" xr:uid="{89FCE1FB-2376-4DC0-AE72-4ACD283AC4EC}">
      <formula1>"Vegan, Vegetarian"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F820-0C51-4527-AACF-264AEF57540F}">
  <sheetPr>
    <tabColor rgb="FFFF0000"/>
  </sheetPr>
  <dimension ref="A1:M43"/>
  <sheetViews>
    <sheetView topLeftCell="A34" workbookViewId="0">
      <selection activeCell="H13" sqref="H13:K39"/>
    </sheetView>
  </sheetViews>
  <sheetFormatPr defaultRowHeight="12.75" customHeight="1" x14ac:dyDescent="0.25"/>
  <cols>
    <col min="1" max="1" width="31.44140625" customWidth="1"/>
  </cols>
  <sheetData>
    <row r="1" spans="1:13" ht="17.399999999999999" x14ac:dyDescent="0.3">
      <c r="A1" s="40"/>
      <c r="B1" s="51"/>
      <c r="C1" s="51"/>
      <c r="D1" s="51"/>
      <c r="E1" s="51"/>
      <c r="F1" s="52"/>
      <c r="G1" s="52"/>
      <c r="H1" s="52"/>
      <c r="I1" s="52"/>
      <c r="J1" s="52"/>
      <c r="K1" s="52"/>
      <c r="L1" s="52"/>
      <c r="M1" s="52"/>
    </row>
    <row r="2" spans="1:13" ht="13.2" x14ac:dyDescent="0.25">
      <c r="A2" s="40"/>
      <c r="B2" s="53"/>
      <c r="C2" s="53"/>
      <c r="D2" s="53"/>
      <c r="E2" s="53"/>
      <c r="F2" s="54"/>
      <c r="G2" s="54"/>
      <c r="H2" s="54"/>
      <c r="I2" s="54"/>
      <c r="J2" s="54"/>
      <c r="K2" s="54"/>
      <c r="L2" s="54"/>
      <c r="M2" s="54"/>
    </row>
    <row r="3" spans="1:13" ht="15.6" x14ac:dyDescent="0.3">
      <c r="A3" s="40"/>
      <c r="B3" s="50"/>
      <c r="C3" s="50"/>
      <c r="D3" s="50"/>
      <c r="E3" s="55"/>
      <c r="F3" s="56"/>
      <c r="G3" s="56"/>
      <c r="H3" s="56"/>
      <c r="I3" s="56"/>
      <c r="J3" s="57"/>
      <c r="K3" s="57"/>
      <c r="L3" s="50"/>
      <c r="M3" s="62" t="s">
        <v>39</v>
      </c>
    </row>
    <row r="4" spans="1:13" ht="13.2" x14ac:dyDescent="0.25">
      <c r="A4" s="58"/>
      <c r="B4" s="215" t="s">
        <v>40</v>
      </c>
      <c r="C4" s="215"/>
      <c r="D4" s="215"/>
      <c r="E4" s="216" t="s">
        <v>63</v>
      </c>
      <c r="F4" s="216"/>
      <c r="G4" s="216"/>
      <c r="H4" s="216"/>
      <c r="I4" s="216"/>
      <c r="J4" s="216"/>
      <c r="K4" s="59"/>
      <c r="L4" s="217"/>
      <c r="M4" s="218"/>
    </row>
    <row r="5" spans="1:13" ht="13.2" x14ac:dyDescent="0.25">
      <c r="A5" s="58"/>
      <c r="B5" s="215" t="s">
        <v>41</v>
      </c>
      <c r="C5" s="215"/>
      <c r="D5" s="215"/>
      <c r="E5" s="216" t="s">
        <v>64</v>
      </c>
      <c r="F5" s="216"/>
      <c r="G5" s="216"/>
      <c r="H5" s="216"/>
      <c r="I5" s="216"/>
      <c r="J5" s="216"/>
      <c r="K5" s="59"/>
      <c r="L5" s="60"/>
      <c r="M5" s="61"/>
    </row>
    <row r="6" spans="1:13" ht="13.2" x14ac:dyDescent="0.25">
      <c r="A6" s="62"/>
      <c r="B6" s="219" t="s">
        <v>42</v>
      </c>
      <c r="C6" s="219"/>
      <c r="D6" s="219"/>
      <c r="E6" s="220" t="s">
        <v>65</v>
      </c>
      <c r="F6" s="220"/>
      <c r="G6" s="220"/>
      <c r="H6" s="220"/>
      <c r="I6" s="220"/>
      <c r="J6" s="220"/>
      <c r="K6" s="63"/>
      <c r="L6" s="82"/>
      <c r="M6" s="64"/>
    </row>
    <row r="7" spans="1:13" ht="13.2" x14ac:dyDescent="0.25">
      <c r="A7" s="65" t="s">
        <v>43</v>
      </c>
      <c r="B7" s="66"/>
      <c r="C7" s="66"/>
      <c r="D7" s="66"/>
      <c r="E7" s="81"/>
      <c r="F7" s="79"/>
      <c r="G7" s="78"/>
      <c r="H7" s="78"/>
      <c r="I7" s="78"/>
      <c r="J7" s="79"/>
      <c r="K7" s="79"/>
      <c r="L7" s="79"/>
      <c r="M7" s="80"/>
    </row>
    <row r="8" spans="1:13" ht="13.2" x14ac:dyDescent="0.25">
      <c r="A8" s="221"/>
      <c r="B8" s="222"/>
      <c r="C8" s="222"/>
      <c r="D8" s="222"/>
      <c r="E8" s="223"/>
      <c r="F8" s="67"/>
      <c r="G8" s="67"/>
      <c r="H8" s="67"/>
      <c r="I8" s="67"/>
      <c r="J8" s="67"/>
      <c r="K8" s="67"/>
      <c r="L8" s="67"/>
      <c r="M8" s="68"/>
    </row>
    <row r="9" spans="1:13" ht="13.2" x14ac:dyDescent="0.25">
      <c r="A9" s="65" t="s">
        <v>44</v>
      </c>
      <c r="B9" s="66"/>
      <c r="C9" s="66"/>
      <c r="D9" s="66"/>
      <c r="E9" s="81"/>
      <c r="F9" s="67"/>
      <c r="G9" s="67"/>
      <c r="H9" s="67"/>
      <c r="I9" s="67"/>
      <c r="J9" s="67"/>
      <c r="K9" s="67"/>
      <c r="L9" s="67"/>
      <c r="M9" s="68"/>
    </row>
    <row r="10" spans="1:13" ht="13.2" x14ac:dyDescent="0.25">
      <c r="A10" s="221" t="s">
        <v>66</v>
      </c>
      <c r="B10" s="224"/>
      <c r="C10" s="224"/>
      <c r="D10" s="224"/>
      <c r="E10" s="225"/>
      <c r="F10" s="61"/>
      <c r="G10" s="61"/>
      <c r="H10" s="61"/>
      <c r="I10" s="61"/>
      <c r="J10" s="61"/>
      <c r="K10" s="61"/>
      <c r="L10" s="61"/>
      <c r="M10" s="69"/>
    </row>
    <row r="11" spans="1:13" ht="21" customHeight="1" x14ac:dyDescent="0.25">
      <c r="A11" s="48" t="s">
        <v>67</v>
      </c>
      <c r="B11" s="226" t="s">
        <v>46</v>
      </c>
      <c r="C11" s="226"/>
      <c r="D11" s="226"/>
      <c r="E11" s="226"/>
      <c r="F11" s="226"/>
      <c r="G11" s="48" t="s">
        <v>47</v>
      </c>
      <c r="H11" s="45" t="s">
        <v>48</v>
      </c>
      <c r="I11" s="44" t="s">
        <v>49</v>
      </c>
      <c r="J11" s="48" t="s">
        <v>29</v>
      </c>
      <c r="K11" s="48" t="s">
        <v>50</v>
      </c>
      <c r="L11" s="48" t="s">
        <v>68</v>
      </c>
      <c r="M11" s="48" t="s">
        <v>51</v>
      </c>
    </row>
    <row r="12" spans="1:13" ht="13.2" x14ac:dyDescent="0.25">
      <c r="A12" s="71" t="s">
        <v>69</v>
      </c>
      <c r="B12" s="72"/>
      <c r="C12" s="72"/>
      <c r="D12" s="72"/>
      <c r="E12" s="47"/>
      <c r="F12" s="73"/>
      <c r="G12" s="74"/>
      <c r="H12" s="74"/>
      <c r="I12" s="74"/>
      <c r="J12" s="47"/>
      <c r="K12" s="47"/>
      <c r="L12" s="47"/>
      <c r="M12" s="43"/>
    </row>
    <row r="13" spans="1:13" ht="13.2" x14ac:dyDescent="0.25">
      <c r="A13" s="38" t="s">
        <v>70</v>
      </c>
      <c r="B13" s="227" t="s">
        <v>71</v>
      </c>
      <c r="C13" s="227"/>
      <c r="D13" s="227"/>
      <c r="E13" s="227"/>
      <c r="F13" s="227"/>
      <c r="G13" s="46"/>
      <c r="H13" s="83"/>
      <c r="I13" s="83">
        <v>2</v>
      </c>
      <c r="J13" s="84">
        <v>5</v>
      </c>
      <c r="K13" s="85">
        <f t="shared" ref="K13:K39" si="0">I13/J13</f>
        <v>0.4</v>
      </c>
      <c r="L13" s="42"/>
      <c r="M13" s="70"/>
    </row>
    <row r="14" spans="1:13" ht="13.2" x14ac:dyDescent="0.25">
      <c r="A14" s="33"/>
      <c r="B14" s="214" t="s">
        <v>72</v>
      </c>
      <c r="C14" s="214"/>
      <c r="D14" s="214"/>
      <c r="E14" s="214"/>
      <c r="F14" s="214"/>
      <c r="G14" s="41"/>
      <c r="H14" s="83"/>
      <c r="I14" s="83">
        <v>0</v>
      </c>
      <c r="J14" s="84">
        <v>5</v>
      </c>
      <c r="K14" s="85">
        <f t="shared" si="0"/>
        <v>0</v>
      </c>
      <c r="L14" s="42"/>
      <c r="M14" s="70"/>
    </row>
    <row r="15" spans="1:13" ht="13.2" x14ac:dyDescent="0.25">
      <c r="A15" s="33"/>
      <c r="B15" s="214" t="s">
        <v>73</v>
      </c>
      <c r="C15" s="214"/>
      <c r="D15" s="214"/>
      <c r="E15" s="214"/>
      <c r="F15" s="214"/>
      <c r="G15" s="41" t="s">
        <v>62</v>
      </c>
      <c r="H15" s="83"/>
      <c r="I15" s="83">
        <v>0</v>
      </c>
      <c r="J15" s="84">
        <v>5</v>
      </c>
      <c r="K15" s="85">
        <f t="shared" si="0"/>
        <v>0</v>
      </c>
      <c r="L15" s="42"/>
      <c r="M15" s="70"/>
    </row>
    <row r="16" spans="1:13" ht="13.2" x14ac:dyDescent="0.25">
      <c r="A16" s="33"/>
      <c r="B16" s="214"/>
      <c r="C16" s="214"/>
      <c r="D16" s="214"/>
      <c r="E16" s="214"/>
      <c r="F16" s="214"/>
      <c r="G16" s="41"/>
      <c r="H16" s="83"/>
      <c r="I16" s="83">
        <v>0</v>
      </c>
      <c r="J16" s="84">
        <v>5</v>
      </c>
      <c r="K16" s="85">
        <f t="shared" si="0"/>
        <v>0</v>
      </c>
      <c r="L16" s="42"/>
      <c r="M16" s="70"/>
    </row>
    <row r="17" spans="1:13" ht="13.2" x14ac:dyDescent="0.25">
      <c r="A17" s="31"/>
      <c r="B17" s="214"/>
      <c r="C17" s="214"/>
      <c r="D17" s="214"/>
      <c r="E17" s="214"/>
      <c r="F17" s="214"/>
      <c r="G17" s="41"/>
      <c r="H17" s="83"/>
      <c r="I17" s="83">
        <v>0</v>
      </c>
      <c r="J17" s="84">
        <v>5</v>
      </c>
      <c r="K17" s="85">
        <f t="shared" si="0"/>
        <v>0</v>
      </c>
      <c r="L17" s="42"/>
      <c r="M17" s="70"/>
    </row>
    <row r="18" spans="1:13" ht="13.2" x14ac:dyDescent="0.25">
      <c r="A18" s="33" t="s">
        <v>74</v>
      </c>
      <c r="B18" s="214" t="s">
        <v>75</v>
      </c>
      <c r="C18" s="214"/>
      <c r="D18" s="214"/>
      <c r="E18" s="214"/>
      <c r="F18" s="214"/>
      <c r="G18" s="41"/>
      <c r="H18" s="83"/>
      <c r="I18" s="83">
        <v>0</v>
      </c>
      <c r="J18" s="84">
        <v>5</v>
      </c>
      <c r="K18" s="85">
        <f t="shared" si="0"/>
        <v>0</v>
      </c>
      <c r="L18" s="42"/>
      <c r="M18" s="70"/>
    </row>
    <row r="19" spans="1:13" ht="13.2" x14ac:dyDescent="0.25">
      <c r="A19" s="32"/>
      <c r="B19" s="214" t="s">
        <v>76</v>
      </c>
      <c r="C19" s="214"/>
      <c r="D19" s="214"/>
      <c r="E19" s="214"/>
      <c r="F19" s="214"/>
      <c r="G19" s="41"/>
      <c r="H19" s="83"/>
      <c r="I19" s="83">
        <v>0</v>
      </c>
      <c r="J19" s="84">
        <v>5</v>
      </c>
      <c r="K19" s="85">
        <f t="shared" si="0"/>
        <v>0</v>
      </c>
      <c r="L19" s="42"/>
      <c r="M19" s="70"/>
    </row>
    <row r="20" spans="1:13" ht="13.2" x14ac:dyDescent="0.25">
      <c r="A20" s="33"/>
      <c r="B20" s="214" t="s">
        <v>77</v>
      </c>
      <c r="C20" s="214"/>
      <c r="D20" s="214"/>
      <c r="E20" s="214"/>
      <c r="F20" s="214"/>
      <c r="G20" s="41"/>
      <c r="H20" s="83"/>
      <c r="I20" s="83">
        <v>0</v>
      </c>
      <c r="J20" s="84">
        <v>5</v>
      </c>
      <c r="K20" s="85">
        <f t="shared" si="0"/>
        <v>0</v>
      </c>
      <c r="L20" s="42"/>
      <c r="M20" s="70"/>
    </row>
    <row r="21" spans="1:13" ht="13.2" x14ac:dyDescent="0.25">
      <c r="A21" s="32" t="s">
        <v>78</v>
      </c>
      <c r="B21" s="214" t="s">
        <v>79</v>
      </c>
      <c r="C21" s="214"/>
      <c r="D21" s="214"/>
      <c r="E21" s="214"/>
      <c r="F21" s="214"/>
      <c r="G21" s="41"/>
      <c r="H21" s="83"/>
      <c r="I21" s="83">
        <v>0</v>
      </c>
      <c r="J21" s="84">
        <v>5</v>
      </c>
      <c r="K21" s="85">
        <f t="shared" si="0"/>
        <v>0</v>
      </c>
      <c r="L21" s="42"/>
      <c r="M21" s="70"/>
    </row>
    <row r="22" spans="1:13" ht="13.2" x14ac:dyDescent="0.25">
      <c r="A22" s="34"/>
      <c r="B22" s="214" t="s">
        <v>80</v>
      </c>
      <c r="C22" s="214"/>
      <c r="D22" s="214"/>
      <c r="E22" s="214"/>
      <c r="F22" s="214"/>
      <c r="G22" s="41"/>
      <c r="H22" s="83"/>
      <c r="I22" s="83">
        <v>0</v>
      </c>
      <c r="J22" s="84">
        <v>5</v>
      </c>
      <c r="K22" s="85">
        <f t="shared" si="0"/>
        <v>0</v>
      </c>
      <c r="L22" s="42"/>
      <c r="M22" s="70"/>
    </row>
    <row r="23" spans="1:13" ht="13.2" x14ac:dyDescent="0.25">
      <c r="A23" s="33"/>
      <c r="B23" s="214" t="s">
        <v>81</v>
      </c>
      <c r="C23" s="214"/>
      <c r="D23" s="214"/>
      <c r="E23" s="214"/>
      <c r="F23" s="214"/>
      <c r="G23" s="41"/>
      <c r="H23" s="83"/>
      <c r="I23" s="83">
        <v>0</v>
      </c>
      <c r="J23" s="84">
        <v>5</v>
      </c>
      <c r="K23" s="85">
        <f t="shared" si="0"/>
        <v>0</v>
      </c>
      <c r="L23" s="42"/>
      <c r="M23" s="70"/>
    </row>
    <row r="24" spans="1:13" ht="13.2" x14ac:dyDescent="0.25">
      <c r="A24" s="32"/>
      <c r="B24" s="214"/>
      <c r="C24" s="214"/>
      <c r="D24" s="214"/>
      <c r="E24" s="214"/>
      <c r="F24" s="214"/>
      <c r="G24" s="41"/>
      <c r="H24" s="83"/>
      <c r="I24" s="83">
        <v>0</v>
      </c>
      <c r="J24" s="84">
        <v>5</v>
      </c>
      <c r="K24" s="85">
        <f t="shared" si="0"/>
        <v>0</v>
      </c>
      <c r="L24" s="42"/>
      <c r="M24" s="70"/>
    </row>
    <row r="25" spans="1:13" ht="13.2" x14ac:dyDescent="0.25">
      <c r="A25" s="33" t="s">
        <v>82</v>
      </c>
      <c r="B25" s="214" t="s">
        <v>83</v>
      </c>
      <c r="C25" s="214"/>
      <c r="D25" s="214"/>
      <c r="E25" s="214"/>
      <c r="F25" s="214"/>
      <c r="G25" s="41"/>
      <c r="H25" s="83"/>
      <c r="I25" s="83">
        <v>0</v>
      </c>
      <c r="J25" s="84">
        <v>5</v>
      </c>
      <c r="K25" s="85">
        <f t="shared" si="0"/>
        <v>0</v>
      </c>
      <c r="L25" s="42"/>
      <c r="M25" s="70"/>
    </row>
    <row r="26" spans="1:13" ht="13.2" x14ac:dyDescent="0.25">
      <c r="A26" s="35"/>
      <c r="B26" s="214" t="s">
        <v>84</v>
      </c>
      <c r="C26" s="214"/>
      <c r="D26" s="214"/>
      <c r="E26" s="214"/>
      <c r="F26" s="214"/>
      <c r="G26" s="41"/>
      <c r="H26" s="83"/>
      <c r="I26" s="83">
        <v>0</v>
      </c>
      <c r="J26" s="84">
        <v>5</v>
      </c>
      <c r="K26" s="85">
        <f t="shared" si="0"/>
        <v>0</v>
      </c>
      <c r="L26" s="42"/>
      <c r="M26" s="70"/>
    </row>
    <row r="27" spans="1:13" ht="13.2" x14ac:dyDescent="0.25">
      <c r="A27" s="33"/>
      <c r="B27" s="214" t="s">
        <v>85</v>
      </c>
      <c r="C27" s="214"/>
      <c r="D27" s="214"/>
      <c r="E27" s="214"/>
      <c r="F27" s="214"/>
      <c r="G27" s="41"/>
      <c r="H27" s="83"/>
      <c r="I27" s="83">
        <v>0</v>
      </c>
      <c r="J27" s="84">
        <v>5</v>
      </c>
      <c r="K27" s="85">
        <f t="shared" si="0"/>
        <v>0</v>
      </c>
      <c r="L27" s="42"/>
      <c r="M27" s="70"/>
    </row>
    <row r="28" spans="1:13" ht="13.2" x14ac:dyDescent="0.25">
      <c r="A28" s="34"/>
      <c r="B28" s="212"/>
      <c r="C28" s="212"/>
      <c r="D28" s="212"/>
      <c r="E28" s="212"/>
      <c r="F28" s="212"/>
      <c r="G28" s="41"/>
      <c r="H28" s="83"/>
      <c r="I28" s="83">
        <v>0</v>
      </c>
      <c r="J28" s="84">
        <v>5</v>
      </c>
      <c r="K28" s="85">
        <f t="shared" si="0"/>
        <v>0</v>
      </c>
      <c r="L28" s="42"/>
      <c r="M28" s="70"/>
    </row>
    <row r="29" spans="1:13" ht="13.2" x14ac:dyDescent="0.25">
      <c r="A29" s="33"/>
      <c r="B29" s="212"/>
      <c r="C29" s="212"/>
      <c r="D29" s="212"/>
      <c r="E29" s="212"/>
      <c r="F29" s="212"/>
      <c r="G29" s="41"/>
      <c r="H29" s="83"/>
      <c r="I29" s="83">
        <v>0</v>
      </c>
      <c r="J29" s="84">
        <v>5</v>
      </c>
      <c r="K29" s="85">
        <f t="shared" si="0"/>
        <v>0</v>
      </c>
      <c r="L29" s="42"/>
      <c r="M29" s="70"/>
    </row>
    <row r="30" spans="1:13" ht="13.2" x14ac:dyDescent="0.25">
      <c r="A30" s="33"/>
      <c r="B30" s="212"/>
      <c r="C30" s="212"/>
      <c r="D30" s="212"/>
      <c r="E30" s="212"/>
      <c r="F30" s="212"/>
      <c r="G30" s="41"/>
      <c r="H30" s="83"/>
      <c r="I30" s="83">
        <v>0</v>
      </c>
      <c r="J30" s="84">
        <v>5</v>
      </c>
      <c r="K30" s="85">
        <f t="shared" si="0"/>
        <v>0</v>
      </c>
      <c r="L30" s="42"/>
      <c r="M30" s="70"/>
    </row>
    <row r="31" spans="1:13" ht="13.2" x14ac:dyDescent="0.25">
      <c r="A31" s="33"/>
      <c r="B31" s="212"/>
      <c r="C31" s="212"/>
      <c r="D31" s="212"/>
      <c r="E31" s="212"/>
      <c r="F31" s="212"/>
      <c r="G31" s="41"/>
      <c r="H31" s="83"/>
      <c r="I31" s="83">
        <v>0</v>
      </c>
      <c r="J31" s="84">
        <v>5</v>
      </c>
      <c r="K31" s="85">
        <f t="shared" si="0"/>
        <v>0</v>
      </c>
      <c r="L31" s="42"/>
      <c r="M31" s="70"/>
    </row>
    <row r="32" spans="1:13" ht="13.2" x14ac:dyDescent="0.25">
      <c r="A32" s="36"/>
      <c r="B32" s="212"/>
      <c r="C32" s="212"/>
      <c r="D32" s="212"/>
      <c r="E32" s="212"/>
      <c r="F32" s="212"/>
      <c r="G32" s="41"/>
      <c r="H32" s="83"/>
      <c r="I32" s="83">
        <v>0</v>
      </c>
      <c r="J32" s="84">
        <v>5</v>
      </c>
      <c r="K32" s="85">
        <f t="shared" si="0"/>
        <v>0</v>
      </c>
      <c r="L32" s="42"/>
      <c r="M32" s="70"/>
    </row>
    <row r="33" spans="1:13" ht="13.2" x14ac:dyDescent="0.25">
      <c r="A33" s="36"/>
      <c r="B33" s="212"/>
      <c r="C33" s="212"/>
      <c r="D33" s="212"/>
      <c r="E33" s="212"/>
      <c r="F33" s="212"/>
      <c r="G33" s="41"/>
      <c r="H33" s="83"/>
      <c r="I33" s="83">
        <v>0</v>
      </c>
      <c r="J33" s="84">
        <v>5</v>
      </c>
      <c r="K33" s="85">
        <f t="shared" si="0"/>
        <v>0</v>
      </c>
      <c r="L33" s="42"/>
      <c r="M33" s="70"/>
    </row>
    <row r="34" spans="1:13" ht="13.2" x14ac:dyDescent="0.25">
      <c r="A34" s="36"/>
      <c r="B34" s="212"/>
      <c r="C34" s="212"/>
      <c r="D34" s="212"/>
      <c r="E34" s="212"/>
      <c r="F34" s="212"/>
      <c r="G34" s="41"/>
      <c r="H34" s="83"/>
      <c r="I34" s="83">
        <v>0</v>
      </c>
      <c r="J34" s="84">
        <v>5</v>
      </c>
      <c r="K34" s="85">
        <f t="shared" si="0"/>
        <v>0</v>
      </c>
      <c r="L34" s="42"/>
      <c r="M34" s="70"/>
    </row>
    <row r="35" spans="1:13" ht="13.2" x14ac:dyDescent="0.25">
      <c r="A35" s="36"/>
      <c r="B35" s="212"/>
      <c r="C35" s="212"/>
      <c r="D35" s="212"/>
      <c r="E35" s="212"/>
      <c r="F35" s="212"/>
      <c r="G35" s="41"/>
      <c r="H35" s="83"/>
      <c r="I35" s="83">
        <v>0</v>
      </c>
      <c r="J35" s="84">
        <v>5</v>
      </c>
      <c r="K35" s="85">
        <f t="shared" si="0"/>
        <v>0</v>
      </c>
      <c r="L35" s="42"/>
      <c r="M35" s="70"/>
    </row>
    <row r="36" spans="1:13" ht="13.2" x14ac:dyDescent="0.25">
      <c r="A36" s="37"/>
      <c r="B36" s="212"/>
      <c r="C36" s="212"/>
      <c r="D36" s="212"/>
      <c r="E36" s="212"/>
      <c r="F36" s="212"/>
      <c r="G36" s="41"/>
      <c r="H36" s="83"/>
      <c r="I36" s="83">
        <v>0</v>
      </c>
      <c r="J36" s="84">
        <v>5</v>
      </c>
      <c r="K36" s="85">
        <f t="shared" si="0"/>
        <v>0</v>
      </c>
      <c r="L36" s="42"/>
      <c r="M36" s="70"/>
    </row>
    <row r="37" spans="1:13" ht="13.2" x14ac:dyDescent="0.25">
      <c r="A37" s="33"/>
      <c r="B37" s="212"/>
      <c r="C37" s="212"/>
      <c r="D37" s="212"/>
      <c r="E37" s="212"/>
      <c r="F37" s="212"/>
      <c r="G37" s="41"/>
      <c r="H37" s="83"/>
      <c r="I37" s="83">
        <v>0</v>
      </c>
      <c r="J37" s="84">
        <v>5</v>
      </c>
      <c r="K37" s="85">
        <f t="shared" si="0"/>
        <v>0</v>
      </c>
      <c r="L37" s="42"/>
      <c r="M37" s="70"/>
    </row>
    <row r="38" spans="1:13" ht="13.2" x14ac:dyDescent="0.25">
      <c r="A38" s="36"/>
      <c r="B38" s="212"/>
      <c r="C38" s="212"/>
      <c r="D38" s="212"/>
      <c r="E38" s="212"/>
      <c r="F38" s="212"/>
      <c r="G38" s="41"/>
      <c r="H38" s="83"/>
      <c r="I38" s="83">
        <v>0</v>
      </c>
      <c r="J38" s="84">
        <v>5</v>
      </c>
      <c r="K38" s="85">
        <f t="shared" si="0"/>
        <v>0</v>
      </c>
      <c r="L38" s="42"/>
      <c r="M38" s="70"/>
    </row>
    <row r="39" spans="1:13" ht="13.2" x14ac:dyDescent="0.25">
      <c r="A39" s="36"/>
      <c r="B39" s="212"/>
      <c r="C39" s="213"/>
      <c r="D39" s="213"/>
      <c r="E39" s="213"/>
      <c r="F39" s="213"/>
      <c r="G39" s="41"/>
      <c r="H39" s="83"/>
      <c r="I39" s="83">
        <v>0</v>
      </c>
      <c r="J39" s="84">
        <v>5</v>
      </c>
      <c r="K39" s="85">
        <f t="shared" si="0"/>
        <v>0</v>
      </c>
      <c r="L39" s="42"/>
      <c r="M39" s="70"/>
    </row>
    <row r="40" spans="1:13" ht="13.2" x14ac:dyDescent="0.25">
      <c r="A40" s="75"/>
      <c r="B40" s="39"/>
      <c r="C40" s="39"/>
      <c r="D40" s="39"/>
      <c r="E40" s="39"/>
      <c r="F40" s="39"/>
      <c r="G40" s="49"/>
      <c r="H40" s="39"/>
      <c r="I40" s="39"/>
      <c r="J40" s="76"/>
      <c r="K40" s="86"/>
      <c r="L40" s="76"/>
      <c r="M40" s="86"/>
    </row>
    <row r="41" spans="1:13" ht="13.2" x14ac:dyDescent="0.25">
      <c r="A41" s="75"/>
      <c r="B41" s="39"/>
      <c r="C41" s="39"/>
      <c r="D41" s="39"/>
      <c r="E41" s="39"/>
      <c r="F41" s="39"/>
      <c r="G41" s="39"/>
      <c r="H41" s="39"/>
      <c r="I41" s="39"/>
      <c r="J41" s="76"/>
      <c r="K41" s="86"/>
      <c r="L41" s="76"/>
      <c r="M41" s="86"/>
    </row>
    <row r="42" spans="1:13" ht="13.2" x14ac:dyDescent="0.25">
      <c r="A42" s="2" t="s">
        <v>86</v>
      </c>
      <c r="B42" s="2"/>
      <c r="C42" s="2"/>
      <c r="D42" s="2"/>
      <c r="E42" s="26"/>
      <c r="F42" s="26"/>
      <c r="G42" s="26"/>
      <c r="H42" s="26"/>
      <c r="I42" s="26"/>
      <c r="J42" s="26"/>
      <c r="K42" s="26"/>
      <c r="L42" s="2" t="s">
        <v>87</v>
      </c>
      <c r="M42" s="26"/>
    </row>
    <row r="43" spans="1:13" ht="13.2" x14ac:dyDescent="0.25"/>
  </sheetData>
  <mergeCells count="37">
    <mergeCell ref="B15:F15"/>
    <mergeCell ref="B4:D4"/>
    <mergeCell ref="E4:J4"/>
    <mergeCell ref="L4:M4"/>
    <mergeCell ref="B5:D5"/>
    <mergeCell ref="E5:J5"/>
    <mergeCell ref="B6:D6"/>
    <mergeCell ref="E6:J6"/>
    <mergeCell ref="A8:E8"/>
    <mergeCell ref="A10:E10"/>
    <mergeCell ref="B11:F11"/>
    <mergeCell ref="B13:F13"/>
    <mergeCell ref="B14:F14"/>
    <mergeCell ref="B27:F27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39:F39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dataValidations count="5">
    <dataValidation type="list" allowBlank="1" showInputMessage="1" showErrorMessage="1" sqref="M13:M39" xr:uid="{A540D77F-86CC-4F43-B647-8633B74C16E4}">
      <formula1>"Combo, Create, Edit"</formula1>
    </dataValidation>
    <dataValidation type="list" allowBlank="1" showInputMessage="1" showErrorMessage="1" sqref="L13:L39" xr:uid="{7749D125-F1DA-4FFF-94F2-7BA3E59E9827}">
      <formula1>"Y, N"</formula1>
    </dataValidation>
    <dataValidation allowBlank="1" showInputMessage="1" showErrorMessage="1" sqref="H11" xr:uid="{52DACB67-97C0-4318-9FDE-D6AA41834BAA}"/>
    <dataValidation type="custom" allowBlank="1" showInputMessage="1" showErrorMessage="1" sqref="G40:H41" xr:uid="{496AEC39-9FBA-4544-BF49-E046FD5A1F89}">
      <formula1>"Vegan, Vegetarian"</formula1>
    </dataValidation>
    <dataValidation type="list" allowBlank="1" showInputMessage="1" showErrorMessage="1" sqref="G13:H39" xr:uid="{E234E93E-AB26-4117-85DF-F7B2BCB7510B}">
      <formula1>"Vegan, Vegetarian"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D869-C6F3-4768-A33E-3DDE43385D86}">
  <sheetPr>
    <tabColor rgb="FFFF0000"/>
  </sheetPr>
  <dimension ref="A1:M43"/>
  <sheetViews>
    <sheetView topLeftCell="A34" workbookViewId="0">
      <selection activeCell="H13" sqref="H13:K39"/>
    </sheetView>
  </sheetViews>
  <sheetFormatPr defaultRowHeight="12.75" customHeight="1" x14ac:dyDescent="0.25"/>
  <cols>
    <col min="1" max="1" width="31.44140625" customWidth="1"/>
  </cols>
  <sheetData>
    <row r="1" spans="1:13" ht="17.399999999999999" x14ac:dyDescent="0.3">
      <c r="A1" s="40"/>
      <c r="B1" s="51"/>
      <c r="C1" s="51"/>
      <c r="D1" s="51"/>
      <c r="E1" s="51"/>
      <c r="F1" s="52"/>
      <c r="G1" s="52"/>
      <c r="H1" s="52"/>
      <c r="I1" s="52"/>
      <c r="J1" s="52"/>
      <c r="K1" s="52"/>
      <c r="L1" s="52"/>
      <c r="M1" s="52"/>
    </row>
    <row r="2" spans="1:13" ht="13.2" x14ac:dyDescent="0.25">
      <c r="A2" s="40"/>
      <c r="B2" s="53"/>
      <c r="C2" s="53"/>
      <c r="D2" s="53"/>
      <c r="E2" s="53"/>
      <c r="F2" s="54"/>
      <c r="G2" s="54"/>
      <c r="H2" s="54"/>
      <c r="I2" s="54"/>
      <c r="J2" s="54"/>
      <c r="K2" s="54"/>
      <c r="L2" s="54"/>
      <c r="M2" s="54"/>
    </row>
    <row r="3" spans="1:13" ht="15.6" x14ac:dyDescent="0.3">
      <c r="A3" s="40"/>
      <c r="B3" s="50"/>
      <c r="C3" s="50"/>
      <c r="D3" s="50"/>
      <c r="E3" s="55"/>
      <c r="F3" s="56"/>
      <c r="G3" s="56"/>
      <c r="H3" s="56"/>
      <c r="I3" s="56"/>
      <c r="J3" s="57"/>
      <c r="K3" s="57"/>
      <c r="L3" s="50"/>
      <c r="M3" s="62" t="s">
        <v>39</v>
      </c>
    </row>
    <row r="4" spans="1:13" ht="13.2" x14ac:dyDescent="0.25">
      <c r="A4" s="58"/>
      <c r="B4" s="215" t="s">
        <v>40</v>
      </c>
      <c r="C4" s="215"/>
      <c r="D4" s="215"/>
      <c r="E4" s="216" t="s">
        <v>63</v>
      </c>
      <c r="F4" s="216"/>
      <c r="G4" s="216"/>
      <c r="H4" s="216"/>
      <c r="I4" s="216"/>
      <c r="J4" s="216"/>
      <c r="K4" s="59"/>
      <c r="L4" s="217"/>
      <c r="M4" s="218"/>
    </row>
    <row r="5" spans="1:13" ht="13.2" x14ac:dyDescent="0.25">
      <c r="A5" s="58"/>
      <c r="B5" s="215" t="s">
        <v>41</v>
      </c>
      <c r="C5" s="215"/>
      <c r="D5" s="215"/>
      <c r="E5" s="216" t="s">
        <v>88</v>
      </c>
      <c r="F5" s="216"/>
      <c r="G5" s="216"/>
      <c r="H5" s="216"/>
      <c r="I5" s="216"/>
      <c r="J5" s="216"/>
      <c r="K5" s="59"/>
      <c r="L5" s="60"/>
      <c r="M5" s="61"/>
    </row>
    <row r="6" spans="1:13" ht="13.2" x14ac:dyDescent="0.25">
      <c r="A6" s="62"/>
      <c r="B6" s="219" t="s">
        <v>42</v>
      </c>
      <c r="C6" s="219"/>
      <c r="D6" s="219"/>
      <c r="E6" s="220" t="s">
        <v>65</v>
      </c>
      <c r="F6" s="220"/>
      <c r="G6" s="220"/>
      <c r="H6" s="220"/>
      <c r="I6" s="220"/>
      <c r="J6" s="220"/>
      <c r="K6" s="63"/>
      <c r="L6" s="82"/>
      <c r="M6" s="64"/>
    </row>
    <row r="7" spans="1:13" ht="13.2" x14ac:dyDescent="0.25">
      <c r="A7" s="65" t="s">
        <v>43</v>
      </c>
      <c r="B7" s="66"/>
      <c r="C7" s="66"/>
      <c r="D7" s="66"/>
      <c r="E7" s="81"/>
      <c r="F7" s="79"/>
      <c r="G7" s="78"/>
      <c r="H7" s="78"/>
      <c r="I7" s="78"/>
      <c r="J7" s="79"/>
      <c r="K7" s="79"/>
      <c r="L7" s="79"/>
      <c r="M7" s="80"/>
    </row>
    <row r="8" spans="1:13" ht="13.2" x14ac:dyDescent="0.25">
      <c r="A8" s="228" t="s">
        <v>89</v>
      </c>
      <c r="B8" s="222"/>
      <c r="C8" s="222"/>
      <c r="D8" s="222"/>
      <c r="E8" s="223"/>
      <c r="F8" s="67"/>
      <c r="G8" s="67"/>
      <c r="H8" s="67"/>
      <c r="I8" s="67"/>
      <c r="J8" s="67"/>
      <c r="K8" s="67"/>
      <c r="L8" s="67"/>
      <c r="M8" s="68"/>
    </row>
    <row r="9" spans="1:13" ht="13.2" x14ac:dyDescent="0.25">
      <c r="A9" s="65" t="s">
        <v>44</v>
      </c>
      <c r="B9" s="66"/>
      <c r="C9" s="66"/>
      <c r="D9" s="66"/>
      <c r="E9" s="81"/>
      <c r="F9" s="67"/>
      <c r="G9" s="67"/>
      <c r="H9" s="67"/>
      <c r="I9" s="67"/>
      <c r="J9" s="67"/>
      <c r="K9" s="67"/>
      <c r="L9" s="67"/>
      <c r="M9" s="68"/>
    </row>
    <row r="10" spans="1:13" ht="13.2" x14ac:dyDescent="0.25">
      <c r="A10" s="228" t="s">
        <v>90</v>
      </c>
      <c r="B10" s="229"/>
      <c r="C10" s="229"/>
      <c r="D10" s="229"/>
      <c r="E10" s="230"/>
      <c r="F10" s="61"/>
      <c r="G10" s="61"/>
      <c r="H10" s="61"/>
      <c r="I10" s="61"/>
      <c r="J10" s="61"/>
      <c r="K10" s="61"/>
      <c r="L10" s="61"/>
      <c r="M10" s="69"/>
    </row>
    <row r="11" spans="1:13" ht="21" customHeight="1" x14ac:dyDescent="0.25">
      <c r="A11" s="48" t="s">
        <v>67</v>
      </c>
      <c r="B11" s="226" t="s">
        <v>46</v>
      </c>
      <c r="C11" s="226"/>
      <c r="D11" s="226"/>
      <c r="E11" s="226"/>
      <c r="F11" s="226"/>
      <c r="G11" s="48" t="s">
        <v>47</v>
      </c>
      <c r="H11" s="45" t="s">
        <v>48</v>
      </c>
      <c r="I11" s="44" t="s">
        <v>49</v>
      </c>
      <c r="J11" s="48" t="s">
        <v>29</v>
      </c>
      <c r="K11" s="48" t="s">
        <v>50</v>
      </c>
      <c r="L11" s="48" t="s">
        <v>68</v>
      </c>
      <c r="M11" s="48" t="s">
        <v>51</v>
      </c>
    </row>
    <row r="12" spans="1:13" ht="13.2" x14ac:dyDescent="0.25">
      <c r="A12" s="71" t="s">
        <v>69</v>
      </c>
      <c r="B12" s="72"/>
      <c r="C12" s="72"/>
      <c r="D12" s="72"/>
      <c r="E12" s="47"/>
      <c r="F12" s="73"/>
      <c r="G12" s="74"/>
      <c r="H12" s="74"/>
      <c r="I12" s="74"/>
      <c r="J12" s="47"/>
      <c r="K12" s="47"/>
      <c r="L12" s="47"/>
      <c r="M12" s="43"/>
    </row>
    <row r="13" spans="1:13" ht="13.2" x14ac:dyDescent="0.25">
      <c r="A13" s="38" t="s">
        <v>70</v>
      </c>
      <c r="B13" s="227" t="s">
        <v>71</v>
      </c>
      <c r="C13" s="227"/>
      <c r="D13" s="227"/>
      <c r="E13" s="227"/>
      <c r="F13" s="227"/>
      <c r="G13" s="46"/>
      <c r="H13" s="83"/>
      <c r="I13" s="83">
        <v>2</v>
      </c>
      <c r="J13" s="84">
        <v>5</v>
      </c>
      <c r="K13" s="85">
        <f t="shared" ref="K13:K39" si="0">I13/J13</f>
        <v>0.4</v>
      </c>
      <c r="L13" s="42"/>
      <c r="M13" s="70"/>
    </row>
    <row r="14" spans="1:13" ht="13.2" x14ac:dyDescent="0.25">
      <c r="A14" s="33"/>
      <c r="B14" s="214" t="s">
        <v>72</v>
      </c>
      <c r="C14" s="214"/>
      <c r="D14" s="214"/>
      <c r="E14" s="214"/>
      <c r="F14" s="214"/>
      <c r="G14" s="41"/>
      <c r="H14" s="83"/>
      <c r="I14" s="83">
        <v>0</v>
      </c>
      <c r="J14" s="84">
        <v>5</v>
      </c>
      <c r="K14" s="85">
        <f t="shared" si="0"/>
        <v>0</v>
      </c>
      <c r="L14" s="42"/>
      <c r="M14" s="70"/>
    </row>
    <row r="15" spans="1:13" ht="13.2" x14ac:dyDescent="0.25">
      <c r="A15" s="33"/>
      <c r="B15" s="214" t="s">
        <v>73</v>
      </c>
      <c r="C15" s="214"/>
      <c r="D15" s="214"/>
      <c r="E15" s="214"/>
      <c r="F15" s="214"/>
      <c r="G15" s="41" t="s">
        <v>62</v>
      </c>
      <c r="H15" s="83"/>
      <c r="I15" s="83">
        <v>0</v>
      </c>
      <c r="J15" s="84">
        <v>5</v>
      </c>
      <c r="K15" s="85">
        <f t="shared" si="0"/>
        <v>0</v>
      </c>
      <c r="L15" s="42"/>
      <c r="M15" s="70"/>
    </row>
    <row r="16" spans="1:13" ht="13.2" x14ac:dyDescent="0.25">
      <c r="A16" s="33"/>
      <c r="B16" s="214"/>
      <c r="C16" s="214"/>
      <c r="D16" s="214"/>
      <c r="E16" s="214"/>
      <c r="F16" s="214"/>
      <c r="G16" s="41"/>
      <c r="H16" s="83"/>
      <c r="I16" s="83">
        <v>0</v>
      </c>
      <c r="J16" s="84">
        <v>5</v>
      </c>
      <c r="K16" s="85">
        <f t="shared" si="0"/>
        <v>0</v>
      </c>
      <c r="L16" s="42"/>
      <c r="M16" s="70"/>
    </row>
    <row r="17" spans="1:13" ht="13.2" x14ac:dyDescent="0.25">
      <c r="A17" s="31"/>
      <c r="B17" s="214"/>
      <c r="C17" s="214"/>
      <c r="D17" s="214"/>
      <c r="E17" s="214"/>
      <c r="F17" s="214"/>
      <c r="G17" s="41"/>
      <c r="H17" s="83"/>
      <c r="I17" s="83">
        <v>0</v>
      </c>
      <c r="J17" s="84">
        <v>5</v>
      </c>
      <c r="K17" s="85">
        <f t="shared" si="0"/>
        <v>0</v>
      </c>
      <c r="L17" s="42"/>
      <c r="M17" s="70"/>
    </row>
    <row r="18" spans="1:13" ht="13.2" x14ac:dyDescent="0.25">
      <c r="A18" s="33" t="s">
        <v>74</v>
      </c>
      <c r="B18" s="214" t="s">
        <v>75</v>
      </c>
      <c r="C18" s="214"/>
      <c r="D18" s="214"/>
      <c r="E18" s="214"/>
      <c r="F18" s="214"/>
      <c r="G18" s="41"/>
      <c r="H18" s="83"/>
      <c r="I18" s="83">
        <v>0</v>
      </c>
      <c r="J18" s="84">
        <v>5</v>
      </c>
      <c r="K18" s="85">
        <f t="shared" si="0"/>
        <v>0</v>
      </c>
      <c r="L18" s="42"/>
      <c r="M18" s="70"/>
    </row>
    <row r="19" spans="1:13" ht="13.2" x14ac:dyDescent="0.25">
      <c r="A19" s="32"/>
      <c r="B19" s="214" t="s">
        <v>76</v>
      </c>
      <c r="C19" s="214"/>
      <c r="D19" s="214"/>
      <c r="E19" s="214"/>
      <c r="F19" s="214"/>
      <c r="G19" s="41"/>
      <c r="H19" s="83"/>
      <c r="I19" s="83">
        <v>0</v>
      </c>
      <c r="J19" s="84">
        <v>5</v>
      </c>
      <c r="K19" s="85">
        <f t="shared" si="0"/>
        <v>0</v>
      </c>
      <c r="L19" s="42"/>
      <c r="M19" s="70"/>
    </row>
    <row r="20" spans="1:13" ht="13.2" x14ac:dyDescent="0.25">
      <c r="A20" s="33"/>
      <c r="B20" s="214" t="s">
        <v>77</v>
      </c>
      <c r="C20" s="214"/>
      <c r="D20" s="214"/>
      <c r="E20" s="214"/>
      <c r="F20" s="214"/>
      <c r="G20" s="41"/>
      <c r="H20" s="83"/>
      <c r="I20" s="83">
        <v>0</v>
      </c>
      <c r="J20" s="84">
        <v>5</v>
      </c>
      <c r="K20" s="85">
        <f t="shared" si="0"/>
        <v>0</v>
      </c>
      <c r="L20" s="42"/>
      <c r="M20" s="70"/>
    </row>
    <row r="21" spans="1:13" ht="13.2" x14ac:dyDescent="0.25">
      <c r="A21" s="32" t="s">
        <v>78</v>
      </c>
      <c r="B21" s="214" t="s">
        <v>79</v>
      </c>
      <c r="C21" s="214"/>
      <c r="D21" s="214"/>
      <c r="E21" s="214"/>
      <c r="F21" s="214"/>
      <c r="G21" s="41"/>
      <c r="H21" s="83"/>
      <c r="I21" s="83">
        <v>0</v>
      </c>
      <c r="J21" s="84">
        <v>5</v>
      </c>
      <c r="K21" s="85">
        <f t="shared" si="0"/>
        <v>0</v>
      </c>
      <c r="L21" s="42"/>
      <c r="M21" s="70"/>
    </row>
    <row r="22" spans="1:13" ht="13.2" x14ac:dyDescent="0.25">
      <c r="A22" s="34"/>
      <c r="B22" s="214" t="s">
        <v>80</v>
      </c>
      <c r="C22" s="214"/>
      <c r="D22" s="214"/>
      <c r="E22" s="214"/>
      <c r="F22" s="214"/>
      <c r="G22" s="41"/>
      <c r="H22" s="83"/>
      <c r="I22" s="83">
        <v>0</v>
      </c>
      <c r="J22" s="84">
        <v>5</v>
      </c>
      <c r="K22" s="85">
        <f t="shared" si="0"/>
        <v>0</v>
      </c>
      <c r="L22" s="42"/>
      <c r="M22" s="70"/>
    </row>
    <row r="23" spans="1:13" ht="13.2" x14ac:dyDescent="0.25">
      <c r="A23" s="33"/>
      <c r="B23" s="214" t="s">
        <v>81</v>
      </c>
      <c r="C23" s="214"/>
      <c r="D23" s="214"/>
      <c r="E23" s="214"/>
      <c r="F23" s="214"/>
      <c r="G23" s="41"/>
      <c r="H23" s="83"/>
      <c r="I23" s="83">
        <v>0</v>
      </c>
      <c r="J23" s="84">
        <v>5</v>
      </c>
      <c r="K23" s="85">
        <f t="shared" si="0"/>
        <v>0</v>
      </c>
      <c r="L23" s="42"/>
      <c r="M23" s="70"/>
    </row>
    <row r="24" spans="1:13" ht="13.2" x14ac:dyDescent="0.25">
      <c r="A24" s="32"/>
      <c r="B24" s="214"/>
      <c r="C24" s="214"/>
      <c r="D24" s="214"/>
      <c r="E24" s="214"/>
      <c r="F24" s="214"/>
      <c r="G24" s="41"/>
      <c r="H24" s="83"/>
      <c r="I24" s="83">
        <v>0</v>
      </c>
      <c r="J24" s="84">
        <v>5</v>
      </c>
      <c r="K24" s="85">
        <f t="shared" si="0"/>
        <v>0</v>
      </c>
      <c r="L24" s="42"/>
      <c r="M24" s="70"/>
    </row>
    <row r="25" spans="1:13" ht="13.2" x14ac:dyDescent="0.25">
      <c r="A25" s="33" t="s">
        <v>82</v>
      </c>
      <c r="B25" s="214" t="s">
        <v>83</v>
      </c>
      <c r="C25" s="214"/>
      <c r="D25" s="214"/>
      <c r="E25" s="214"/>
      <c r="F25" s="214"/>
      <c r="G25" s="41"/>
      <c r="H25" s="83"/>
      <c r="I25" s="83">
        <v>0</v>
      </c>
      <c r="J25" s="84">
        <v>5</v>
      </c>
      <c r="K25" s="85">
        <f t="shared" si="0"/>
        <v>0</v>
      </c>
      <c r="L25" s="42"/>
      <c r="M25" s="70"/>
    </row>
    <row r="26" spans="1:13" ht="13.2" x14ac:dyDescent="0.25">
      <c r="A26" s="35"/>
      <c r="B26" s="214" t="s">
        <v>84</v>
      </c>
      <c r="C26" s="214"/>
      <c r="D26" s="214"/>
      <c r="E26" s="214"/>
      <c r="F26" s="214"/>
      <c r="G26" s="41"/>
      <c r="H26" s="83"/>
      <c r="I26" s="83">
        <v>0</v>
      </c>
      <c r="J26" s="84">
        <v>5</v>
      </c>
      <c r="K26" s="85">
        <f t="shared" si="0"/>
        <v>0</v>
      </c>
      <c r="L26" s="42"/>
      <c r="M26" s="70"/>
    </row>
    <row r="27" spans="1:13" ht="13.2" x14ac:dyDescent="0.25">
      <c r="A27" s="33"/>
      <c r="B27" s="214" t="s">
        <v>85</v>
      </c>
      <c r="C27" s="214"/>
      <c r="D27" s="214"/>
      <c r="E27" s="214"/>
      <c r="F27" s="214"/>
      <c r="G27" s="41"/>
      <c r="H27" s="83"/>
      <c r="I27" s="83">
        <v>0</v>
      </c>
      <c r="J27" s="84">
        <v>5</v>
      </c>
      <c r="K27" s="85">
        <f t="shared" si="0"/>
        <v>0</v>
      </c>
      <c r="L27" s="42"/>
      <c r="M27" s="70"/>
    </row>
    <row r="28" spans="1:13" ht="13.2" x14ac:dyDescent="0.25">
      <c r="A28" s="34"/>
      <c r="B28" s="212"/>
      <c r="C28" s="212"/>
      <c r="D28" s="212"/>
      <c r="E28" s="212"/>
      <c r="F28" s="212"/>
      <c r="G28" s="41"/>
      <c r="H28" s="83"/>
      <c r="I28" s="83">
        <v>0</v>
      </c>
      <c r="J28" s="84">
        <v>5</v>
      </c>
      <c r="K28" s="85">
        <f t="shared" si="0"/>
        <v>0</v>
      </c>
      <c r="L28" s="42"/>
      <c r="M28" s="70"/>
    </row>
    <row r="29" spans="1:13" ht="13.2" x14ac:dyDescent="0.25">
      <c r="A29" s="33"/>
      <c r="B29" s="212"/>
      <c r="C29" s="212"/>
      <c r="D29" s="212"/>
      <c r="E29" s="212"/>
      <c r="F29" s="212"/>
      <c r="G29" s="41"/>
      <c r="H29" s="83"/>
      <c r="I29" s="83">
        <v>0</v>
      </c>
      <c r="J29" s="84">
        <v>5</v>
      </c>
      <c r="K29" s="85">
        <f t="shared" si="0"/>
        <v>0</v>
      </c>
      <c r="L29" s="42"/>
      <c r="M29" s="70"/>
    </row>
    <row r="30" spans="1:13" ht="13.2" x14ac:dyDescent="0.25">
      <c r="A30" s="33"/>
      <c r="B30" s="212"/>
      <c r="C30" s="212"/>
      <c r="D30" s="212"/>
      <c r="E30" s="212"/>
      <c r="F30" s="212"/>
      <c r="G30" s="41"/>
      <c r="H30" s="83"/>
      <c r="I30" s="83">
        <v>0</v>
      </c>
      <c r="J30" s="84">
        <v>5</v>
      </c>
      <c r="K30" s="85">
        <f t="shared" si="0"/>
        <v>0</v>
      </c>
      <c r="L30" s="42"/>
      <c r="M30" s="70"/>
    </row>
    <row r="31" spans="1:13" ht="13.2" x14ac:dyDescent="0.25">
      <c r="A31" s="33"/>
      <c r="B31" s="212"/>
      <c r="C31" s="212"/>
      <c r="D31" s="212"/>
      <c r="E31" s="212"/>
      <c r="F31" s="212"/>
      <c r="G31" s="41"/>
      <c r="H31" s="83"/>
      <c r="I31" s="83">
        <v>0</v>
      </c>
      <c r="J31" s="84">
        <v>5</v>
      </c>
      <c r="K31" s="85">
        <f t="shared" si="0"/>
        <v>0</v>
      </c>
      <c r="L31" s="42"/>
      <c r="M31" s="70"/>
    </row>
    <row r="32" spans="1:13" ht="13.2" x14ac:dyDescent="0.25">
      <c r="A32" s="36"/>
      <c r="B32" s="212"/>
      <c r="C32" s="212"/>
      <c r="D32" s="212"/>
      <c r="E32" s="212"/>
      <c r="F32" s="212"/>
      <c r="G32" s="41"/>
      <c r="H32" s="83"/>
      <c r="I32" s="83">
        <v>0</v>
      </c>
      <c r="J32" s="84">
        <v>5</v>
      </c>
      <c r="K32" s="85">
        <f t="shared" si="0"/>
        <v>0</v>
      </c>
      <c r="L32" s="42"/>
      <c r="M32" s="70"/>
    </row>
    <row r="33" spans="1:13" ht="13.2" x14ac:dyDescent="0.25">
      <c r="A33" s="36"/>
      <c r="B33" s="212"/>
      <c r="C33" s="212"/>
      <c r="D33" s="212"/>
      <c r="E33" s="212"/>
      <c r="F33" s="212"/>
      <c r="G33" s="41"/>
      <c r="H33" s="83"/>
      <c r="I33" s="83">
        <v>0</v>
      </c>
      <c r="J33" s="84">
        <v>5</v>
      </c>
      <c r="K33" s="85">
        <f t="shared" si="0"/>
        <v>0</v>
      </c>
      <c r="L33" s="42"/>
      <c r="M33" s="70"/>
    </row>
    <row r="34" spans="1:13" ht="13.2" x14ac:dyDescent="0.25">
      <c r="A34" s="36"/>
      <c r="B34" s="212"/>
      <c r="C34" s="212"/>
      <c r="D34" s="212"/>
      <c r="E34" s="212"/>
      <c r="F34" s="212"/>
      <c r="G34" s="41"/>
      <c r="H34" s="83"/>
      <c r="I34" s="83">
        <v>0</v>
      </c>
      <c r="J34" s="84">
        <v>5</v>
      </c>
      <c r="K34" s="85">
        <f t="shared" si="0"/>
        <v>0</v>
      </c>
      <c r="L34" s="42"/>
      <c r="M34" s="70"/>
    </row>
    <row r="35" spans="1:13" ht="13.2" x14ac:dyDescent="0.25">
      <c r="A35" s="36"/>
      <c r="B35" s="212"/>
      <c r="C35" s="212"/>
      <c r="D35" s="212"/>
      <c r="E35" s="212"/>
      <c r="F35" s="212"/>
      <c r="G35" s="41"/>
      <c r="H35" s="83"/>
      <c r="I35" s="83">
        <v>0</v>
      </c>
      <c r="J35" s="84">
        <v>5</v>
      </c>
      <c r="K35" s="85">
        <f t="shared" si="0"/>
        <v>0</v>
      </c>
      <c r="L35" s="42"/>
      <c r="M35" s="70"/>
    </row>
    <row r="36" spans="1:13" ht="13.2" x14ac:dyDescent="0.25">
      <c r="A36" s="37"/>
      <c r="B36" s="212"/>
      <c r="C36" s="212"/>
      <c r="D36" s="212"/>
      <c r="E36" s="212"/>
      <c r="F36" s="212"/>
      <c r="G36" s="41"/>
      <c r="H36" s="83"/>
      <c r="I36" s="83">
        <v>0</v>
      </c>
      <c r="J36" s="84">
        <v>5</v>
      </c>
      <c r="K36" s="85">
        <f t="shared" si="0"/>
        <v>0</v>
      </c>
      <c r="L36" s="42"/>
      <c r="M36" s="70"/>
    </row>
    <row r="37" spans="1:13" ht="13.2" x14ac:dyDescent="0.25">
      <c r="A37" s="33"/>
      <c r="B37" s="212"/>
      <c r="C37" s="212"/>
      <c r="D37" s="212"/>
      <c r="E37" s="212"/>
      <c r="F37" s="212"/>
      <c r="G37" s="41"/>
      <c r="H37" s="83"/>
      <c r="I37" s="83">
        <v>0</v>
      </c>
      <c r="J37" s="84">
        <v>5</v>
      </c>
      <c r="K37" s="85">
        <f t="shared" si="0"/>
        <v>0</v>
      </c>
      <c r="L37" s="42"/>
      <c r="M37" s="70"/>
    </row>
    <row r="38" spans="1:13" ht="13.2" x14ac:dyDescent="0.25">
      <c r="A38" s="36"/>
      <c r="B38" s="212"/>
      <c r="C38" s="212"/>
      <c r="D38" s="212"/>
      <c r="E38" s="212"/>
      <c r="F38" s="212"/>
      <c r="G38" s="41"/>
      <c r="H38" s="83"/>
      <c r="I38" s="83">
        <v>0</v>
      </c>
      <c r="J38" s="84">
        <v>5</v>
      </c>
      <c r="K38" s="85">
        <f t="shared" si="0"/>
        <v>0</v>
      </c>
      <c r="L38" s="42"/>
      <c r="M38" s="70"/>
    </row>
    <row r="39" spans="1:13" ht="13.2" x14ac:dyDescent="0.25">
      <c r="A39" s="36"/>
      <c r="B39" s="212"/>
      <c r="C39" s="213"/>
      <c r="D39" s="213"/>
      <c r="E39" s="213"/>
      <c r="F39" s="213"/>
      <c r="G39" s="41"/>
      <c r="H39" s="83"/>
      <c r="I39" s="83">
        <v>0</v>
      </c>
      <c r="J39" s="84">
        <v>5</v>
      </c>
      <c r="K39" s="85">
        <f t="shared" si="0"/>
        <v>0</v>
      </c>
      <c r="L39" s="42"/>
      <c r="M39" s="70"/>
    </row>
    <row r="40" spans="1:13" ht="13.2" x14ac:dyDescent="0.25">
      <c r="A40" s="75"/>
      <c r="B40" s="39"/>
      <c r="C40" s="39"/>
      <c r="D40" s="39"/>
      <c r="E40" s="39"/>
      <c r="F40" s="39"/>
      <c r="G40" s="49"/>
      <c r="H40" s="39"/>
      <c r="I40" s="39"/>
      <c r="J40" s="76"/>
      <c r="K40" s="77"/>
      <c r="L40" s="76"/>
      <c r="M40" s="77"/>
    </row>
    <row r="41" spans="1:13" ht="13.2" x14ac:dyDescent="0.25">
      <c r="A41" s="75"/>
      <c r="B41" s="39"/>
      <c r="C41" s="39"/>
      <c r="D41" s="39"/>
      <c r="E41" s="39"/>
      <c r="F41" s="39"/>
      <c r="G41" s="39"/>
      <c r="H41" s="39"/>
      <c r="I41" s="39"/>
      <c r="J41" s="76"/>
      <c r="K41" s="77"/>
      <c r="L41" s="76"/>
      <c r="M41" s="77"/>
    </row>
    <row r="42" spans="1:13" ht="13.2" x14ac:dyDescent="0.25">
      <c r="A42" s="2" t="s">
        <v>86</v>
      </c>
      <c r="B42" s="2"/>
      <c r="C42" s="2"/>
      <c r="D42" s="2"/>
      <c r="E42" s="26"/>
      <c r="F42" s="26"/>
      <c r="G42" s="26"/>
      <c r="H42" s="26"/>
      <c r="I42" s="26"/>
      <c r="J42" s="26"/>
      <c r="K42" s="26"/>
      <c r="L42" s="2" t="s">
        <v>87</v>
      </c>
      <c r="M42" s="26"/>
    </row>
    <row r="43" spans="1:13" ht="13.2" x14ac:dyDescent="0.25"/>
  </sheetData>
  <mergeCells count="37">
    <mergeCell ref="B35:F35"/>
    <mergeCell ref="B36:F36"/>
    <mergeCell ref="B37:F37"/>
    <mergeCell ref="B38:F38"/>
    <mergeCell ref="B39:F39"/>
    <mergeCell ref="B34:F34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22:F22"/>
    <mergeCell ref="B11:F11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L4:M4"/>
    <mergeCell ref="B5:D5"/>
    <mergeCell ref="E5:J5"/>
    <mergeCell ref="A8:E8"/>
    <mergeCell ref="A10:E10"/>
    <mergeCell ref="B6:D6"/>
    <mergeCell ref="E6:J6"/>
    <mergeCell ref="B4:D4"/>
    <mergeCell ref="E4:J4"/>
  </mergeCells>
  <dataValidations count="5">
    <dataValidation type="list" allowBlank="1" showInputMessage="1" showErrorMessage="1" sqref="G13:H39" xr:uid="{57B14A45-D8D1-481E-923E-43691BB365CC}">
      <formula1>"Vegan, Vegetarian"</formula1>
    </dataValidation>
    <dataValidation type="custom" allowBlank="1" showInputMessage="1" showErrorMessage="1" sqref="G40:H41" xr:uid="{8EDB46BE-27E6-443C-8F84-6BE5FF400360}">
      <formula1>"Vegan, Vegetarian"</formula1>
    </dataValidation>
    <dataValidation allowBlank="1" showInputMessage="1" showErrorMessage="1" sqref="H11" xr:uid="{7E9597B1-9497-44A5-993A-F957471905DC}"/>
    <dataValidation type="list" allowBlank="1" showInputMessage="1" showErrorMessage="1" sqref="L13:L39" xr:uid="{FBBC5E0A-F882-4A54-B03C-A691345429F8}">
      <formula1>"Y, N"</formula1>
    </dataValidation>
    <dataValidation type="list" allowBlank="1" showInputMessage="1" showErrorMessage="1" sqref="M13:M39" xr:uid="{D97762F0-0305-4875-A924-836544379F9E}">
      <formula1>"Combo, Create, Edit"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selection activeCell="C21" sqref="C21"/>
    </sheetView>
  </sheetViews>
  <sheetFormatPr defaultRowHeight="13.2" x14ac:dyDescent="0.25"/>
  <cols>
    <col min="1" max="1" width="28.109375" customWidth="1"/>
    <col min="2" max="2" width="10.5546875" customWidth="1"/>
  </cols>
  <sheetData>
    <row r="1" spans="1:5" ht="13.8" thickBot="1" x14ac:dyDescent="0.3"/>
    <row r="2" spans="1:5" ht="14.4" thickTop="1" thickBot="1" x14ac:dyDescent="0.3">
      <c r="A2" s="6" t="s">
        <v>91</v>
      </c>
      <c r="B2" s="89"/>
    </row>
    <row r="3" spans="1:5" ht="14.4" thickTop="1" thickBot="1" x14ac:dyDescent="0.3">
      <c r="A3" s="6" t="s">
        <v>92</v>
      </c>
      <c r="B3" s="89"/>
    </row>
    <row r="4" spans="1:5" ht="14.4" thickTop="1" thickBot="1" x14ac:dyDescent="0.3">
      <c r="A4" s="7" t="s">
        <v>40</v>
      </c>
      <c r="B4" s="231" t="s">
        <v>93</v>
      </c>
      <c r="C4" s="231"/>
      <c r="D4" s="231"/>
      <c r="E4" s="231"/>
    </row>
    <row r="5" spans="1:5" ht="14.4" thickTop="1" thickBot="1" x14ac:dyDescent="0.3">
      <c r="A5" s="8"/>
      <c r="B5" s="90"/>
      <c r="C5" s="9"/>
      <c r="D5" s="9"/>
      <c r="E5" s="9"/>
    </row>
    <row r="6" spans="1:5" ht="14.4" thickTop="1" thickBot="1" x14ac:dyDescent="0.3">
      <c r="A6" s="7" t="s">
        <v>94</v>
      </c>
      <c r="B6" s="231" t="s">
        <v>95</v>
      </c>
      <c r="C6" s="231"/>
      <c r="D6" s="231"/>
      <c r="E6" s="231"/>
    </row>
    <row r="7" spans="1:5" ht="14.4" thickTop="1" thickBot="1" x14ac:dyDescent="0.3">
      <c r="A7" s="7" t="s">
        <v>96</v>
      </c>
      <c r="B7" s="231" t="s">
        <v>97</v>
      </c>
      <c r="C7" s="231"/>
      <c r="D7" s="231"/>
      <c r="E7" s="231"/>
    </row>
    <row r="8" spans="1:5" ht="14.4" thickTop="1" thickBot="1" x14ac:dyDescent="0.3">
      <c r="A8" s="7" t="s">
        <v>98</v>
      </c>
      <c r="B8" s="231" t="s">
        <v>99</v>
      </c>
      <c r="C8" s="231"/>
      <c r="D8" s="231"/>
      <c r="E8" s="231"/>
    </row>
    <row r="9" spans="1:5" ht="14.4" thickTop="1" thickBot="1" x14ac:dyDescent="0.3">
      <c r="A9" s="7" t="s">
        <v>100</v>
      </c>
      <c r="B9" s="233" t="s">
        <v>101</v>
      </c>
      <c r="C9" s="233"/>
      <c r="D9" s="233"/>
      <c r="E9" s="233"/>
    </row>
    <row r="10" spans="1:5" ht="14.4" thickTop="1" thickBot="1" x14ac:dyDescent="0.3">
      <c r="A10" s="8"/>
      <c r="B10" s="91"/>
      <c r="C10" s="10"/>
      <c r="D10" s="10"/>
      <c r="E10" s="10"/>
    </row>
    <row r="11" spans="1:5" ht="14.4" thickTop="1" thickBot="1" x14ac:dyDescent="0.3">
      <c r="A11" s="7" t="s">
        <v>102</v>
      </c>
      <c r="B11" s="92"/>
      <c r="C11" s="11"/>
      <c r="D11" s="11"/>
      <c r="E11" s="11"/>
    </row>
    <row r="12" spans="1:5" ht="14.4" thickTop="1" thickBot="1" x14ac:dyDescent="0.3">
      <c r="A12" s="12" t="s">
        <v>103</v>
      </c>
      <c r="B12" s="231" t="s">
        <v>104</v>
      </c>
      <c r="C12" s="231"/>
      <c r="D12" s="231"/>
      <c r="E12" s="231"/>
    </row>
    <row r="13" spans="1:5" ht="14.4" thickTop="1" thickBot="1" x14ac:dyDescent="0.3">
      <c r="A13" s="12" t="s">
        <v>105</v>
      </c>
      <c r="B13" s="231" t="s">
        <v>106</v>
      </c>
      <c r="C13" s="231"/>
      <c r="D13" s="231"/>
      <c r="E13" s="231"/>
    </row>
    <row r="14" spans="1:5" ht="14.4" thickTop="1" thickBot="1" x14ac:dyDescent="0.3">
      <c r="A14" s="12" t="s">
        <v>107</v>
      </c>
      <c r="B14" s="231" t="s">
        <v>108</v>
      </c>
      <c r="C14" s="231"/>
      <c r="D14" s="231"/>
      <c r="E14" s="231"/>
    </row>
    <row r="15" spans="1:5" ht="14.4" thickTop="1" thickBot="1" x14ac:dyDescent="0.3">
      <c r="A15" s="12" t="s">
        <v>109</v>
      </c>
      <c r="B15" s="231" t="s">
        <v>110</v>
      </c>
      <c r="C15" s="231"/>
      <c r="D15" s="231"/>
      <c r="E15" s="231"/>
    </row>
    <row r="16" spans="1:5" ht="14.4" thickTop="1" thickBot="1" x14ac:dyDescent="0.3">
      <c r="A16" s="12" t="s">
        <v>111</v>
      </c>
      <c r="B16" s="231"/>
      <c r="C16" s="231"/>
      <c r="D16" s="231"/>
      <c r="E16" s="231"/>
    </row>
    <row r="17" spans="1:5" ht="14.4" thickTop="1" thickBot="1" x14ac:dyDescent="0.3">
      <c r="A17" s="12" t="s">
        <v>109</v>
      </c>
      <c r="B17" s="231"/>
      <c r="C17" s="231"/>
      <c r="D17" s="231"/>
      <c r="E17" s="231"/>
    </row>
    <row r="18" spans="1:5" ht="14.4" thickTop="1" thickBot="1" x14ac:dyDescent="0.3">
      <c r="A18" s="12" t="s">
        <v>112</v>
      </c>
      <c r="B18" s="231" t="s">
        <v>113</v>
      </c>
      <c r="C18" s="231"/>
      <c r="D18" s="231"/>
      <c r="E18" s="231"/>
    </row>
    <row r="19" spans="1:5" ht="14.4" thickTop="1" thickBot="1" x14ac:dyDescent="0.3">
      <c r="A19" s="12" t="s">
        <v>114</v>
      </c>
      <c r="B19" s="231" t="s">
        <v>115</v>
      </c>
      <c r="C19" s="231"/>
      <c r="D19" s="231"/>
      <c r="E19" s="231"/>
    </row>
    <row r="20" spans="1:5" ht="14.4" thickTop="1" thickBot="1" x14ac:dyDescent="0.3">
      <c r="A20" s="8"/>
      <c r="B20" s="90"/>
      <c r="C20" s="9"/>
      <c r="D20" s="10"/>
      <c r="E20" s="10"/>
    </row>
    <row r="21" spans="1:5" ht="27.6" thickTop="1" thickBot="1" x14ac:dyDescent="0.3">
      <c r="A21" s="12" t="s">
        <v>116</v>
      </c>
      <c r="B21" s="93" t="s">
        <v>117</v>
      </c>
      <c r="C21" s="13">
        <v>1</v>
      </c>
    </row>
    <row r="22" spans="1:5" ht="14.4" thickTop="1" thickBot="1" x14ac:dyDescent="0.3">
      <c r="A22" s="12" t="s">
        <v>118</v>
      </c>
      <c r="B22" s="232">
        <v>9.7699999999999995E-2</v>
      </c>
      <c r="C22" s="232"/>
      <c r="D22" s="232"/>
      <c r="E22" s="232"/>
    </row>
    <row r="23" spans="1:5" ht="13.8" thickTop="1" x14ac:dyDescent="0.25"/>
  </sheetData>
  <mergeCells count="14">
    <mergeCell ref="B4:E4"/>
    <mergeCell ref="B6:E6"/>
    <mergeCell ref="B7:E7"/>
    <mergeCell ref="B8:E8"/>
    <mergeCell ref="B9:E9"/>
    <mergeCell ref="B12:E12"/>
    <mergeCell ref="B13:E13"/>
    <mergeCell ref="B14:E14"/>
    <mergeCell ref="B19:E19"/>
    <mergeCell ref="B22:E22"/>
    <mergeCell ref="B15:E15"/>
    <mergeCell ref="B17:E17"/>
    <mergeCell ref="B16:E16"/>
    <mergeCell ref="B18:E18"/>
  </mergeCells>
  <phoneticPr fontId="0" type="noConversion"/>
  <hyperlinks>
    <hyperlink ref="B9" r:id="rId1" display="café@real.com" xr:uid="{00000000-0004-0000-0400-000000000000}"/>
    <hyperlink ref="B9:E9" r:id="rId2" display="sammcater@microsoft.com" xr:uid="{00000000-0004-0000-0400-000001000000}"/>
  </hyperlinks>
  <pageMargins left="0.75" right="0.75" top="1" bottom="1" header="0.5" footer="0.5"/>
  <pageSetup orientation="portrait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showGridLines="0" topLeftCell="A20" zoomScaleNormal="100" workbookViewId="0">
      <selection activeCell="B19" sqref="B19:H20"/>
    </sheetView>
  </sheetViews>
  <sheetFormatPr defaultRowHeight="15" customHeight="1" x14ac:dyDescent="0.25"/>
  <cols>
    <col min="1" max="1" width="32.109375" customWidth="1"/>
    <col min="2" max="7" width="8.109375" customWidth="1"/>
    <col min="8" max="8" width="8" customWidth="1"/>
    <col min="9" max="9" width="7.44140625" customWidth="1"/>
    <col min="10" max="10" width="6.88671875" customWidth="1"/>
    <col min="11" max="17" width="8.109375" customWidth="1"/>
    <col min="18" max="18" width="7.5546875" customWidth="1"/>
    <col min="19" max="19" width="6.88671875" customWidth="1"/>
    <col min="20" max="21" width="6.5546875" customWidth="1"/>
    <col min="22" max="22" width="8.109375" customWidth="1"/>
    <col min="23" max="24" width="8.5546875" customWidth="1"/>
    <col min="25" max="25" width="7.44140625" customWidth="1"/>
    <col min="26" max="26" width="30.88671875" customWidth="1"/>
  </cols>
  <sheetData>
    <row r="1" spans="1:19" ht="15" customHeight="1" x14ac:dyDescent="0.25">
      <c r="A1" s="234" t="s">
        <v>119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</row>
    <row r="2" spans="1:19" ht="15" customHeight="1" x14ac:dyDescent="0.25">
      <c r="A2" s="3" t="s">
        <v>120</v>
      </c>
      <c r="B2" s="236" t="s">
        <v>121</v>
      </c>
      <c r="C2" s="236"/>
      <c r="D2" s="236"/>
      <c r="E2" s="236"/>
      <c r="F2" s="236"/>
      <c r="G2" s="237"/>
      <c r="H2" s="237"/>
      <c r="I2" s="236" t="s">
        <v>122</v>
      </c>
      <c r="J2" s="237"/>
      <c r="K2" s="237"/>
      <c r="L2" s="237"/>
      <c r="M2" s="237"/>
      <c r="N2" s="237"/>
      <c r="O2" s="237"/>
      <c r="P2" s="237"/>
      <c r="Q2" s="237"/>
      <c r="R2" s="237"/>
      <c r="S2" s="237"/>
    </row>
    <row r="3" spans="1:19" ht="15" customHeight="1" x14ac:dyDescent="0.25">
      <c r="A3" s="4" t="s">
        <v>123</v>
      </c>
      <c r="B3" s="238" t="s">
        <v>124</v>
      </c>
      <c r="C3" s="238"/>
      <c r="D3" s="238"/>
      <c r="E3" s="238"/>
      <c r="F3" s="238"/>
      <c r="G3" s="237"/>
      <c r="H3" s="237"/>
      <c r="I3" s="238" t="s">
        <v>125</v>
      </c>
      <c r="J3" s="237"/>
      <c r="K3" s="237"/>
      <c r="L3" s="237"/>
      <c r="M3" s="237"/>
      <c r="N3" s="237"/>
      <c r="O3" s="237"/>
      <c r="P3" s="237"/>
      <c r="Q3" s="237"/>
      <c r="R3" s="237"/>
      <c r="S3" s="237"/>
    </row>
    <row r="4" spans="1:19" ht="15" customHeight="1" x14ac:dyDescent="0.25">
      <c r="A4" s="4" t="s">
        <v>126</v>
      </c>
      <c r="B4" s="238" t="s">
        <v>127</v>
      </c>
      <c r="C4" s="238"/>
      <c r="D4" s="238"/>
      <c r="E4" s="238"/>
      <c r="F4" s="238"/>
      <c r="G4" s="237"/>
      <c r="H4" s="237"/>
      <c r="I4" s="238" t="s">
        <v>128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</row>
    <row r="5" spans="1:19" ht="15" customHeight="1" x14ac:dyDescent="0.25">
      <c r="A5" s="5"/>
      <c r="B5" s="238" t="s">
        <v>129</v>
      </c>
      <c r="C5" s="238"/>
      <c r="D5" s="238"/>
      <c r="E5" s="238"/>
      <c r="F5" s="238"/>
      <c r="G5" s="237"/>
      <c r="H5" s="237"/>
      <c r="I5" s="238" t="s">
        <v>130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</row>
    <row r="6" spans="1:19" ht="15" customHeight="1" x14ac:dyDescent="0.25">
      <c r="A6" s="5"/>
      <c r="B6" s="240"/>
      <c r="C6" s="240"/>
      <c r="D6" s="240"/>
      <c r="E6" s="240"/>
      <c r="F6" s="240"/>
      <c r="G6" s="237"/>
      <c r="H6" s="237"/>
      <c r="I6" s="241"/>
      <c r="J6" s="237"/>
      <c r="K6" s="237"/>
      <c r="L6" s="237"/>
      <c r="M6" s="237"/>
      <c r="N6" s="237"/>
      <c r="O6" s="237"/>
      <c r="P6" s="237"/>
      <c r="Q6" s="237"/>
      <c r="R6" s="237"/>
      <c r="S6" s="237"/>
    </row>
    <row r="7" spans="1:19" ht="15" customHeight="1" x14ac:dyDescent="0.25">
      <c r="A7" s="239" t="s">
        <v>131</v>
      </c>
      <c r="B7" s="238" t="s">
        <v>132</v>
      </c>
      <c r="C7" s="238"/>
      <c r="D7" s="238"/>
      <c r="E7" s="238"/>
      <c r="F7" s="238"/>
      <c r="G7" s="237"/>
      <c r="H7" s="237"/>
      <c r="I7" s="238" t="s">
        <v>133</v>
      </c>
      <c r="J7" s="237"/>
      <c r="K7" s="237"/>
      <c r="L7" s="237"/>
      <c r="M7" s="237"/>
      <c r="N7" s="237"/>
      <c r="O7" s="237"/>
      <c r="P7" s="237"/>
      <c r="Q7" s="237"/>
      <c r="R7" s="237"/>
      <c r="S7" s="237"/>
    </row>
    <row r="8" spans="1:19" ht="15" customHeight="1" x14ac:dyDescent="0.25">
      <c r="A8" s="239"/>
      <c r="B8" s="238"/>
      <c r="C8" s="238"/>
      <c r="D8" s="238"/>
      <c r="E8" s="238"/>
      <c r="F8" s="238"/>
      <c r="G8" s="237"/>
      <c r="H8" s="237"/>
      <c r="I8" s="238"/>
      <c r="J8" s="237"/>
      <c r="K8" s="237"/>
      <c r="L8" s="237"/>
      <c r="M8" s="237"/>
      <c r="N8" s="237"/>
      <c r="O8" s="237"/>
      <c r="P8" s="237"/>
      <c r="Q8" s="237"/>
      <c r="R8" s="237"/>
      <c r="S8" s="237"/>
    </row>
    <row r="9" spans="1:19" ht="15" customHeight="1" x14ac:dyDescent="0.25">
      <c r="A9" s="239" t="s">
        <v>134</v>
      </c>
      <c r="B9" s="238" t="s">
        <v>135</v>
      </c>
      <c r="C9" s="238"/>
      <c r="D9" s="238"/>
      <c r="E9" s="238"/>
      <c r="F9" s="238"/>
      <c r="G9" s="237"/>
      <c r="H9" s="237"/>
      <c r="I9" s="238" t="s">
        <v>133</v>
      </c>
      <c r="J9" s="237"/>
      <c r="K9" s="237"/>
      <c r="L9" s="237"/>
      <c r="M9" s="237"/>
      <c r="N9" s="237"/>
      <c r="O9" s="237"/>
      <c r="P9" s="237"/>
      <c r="Q9" s="237"/>
      <c r="R9" s="237"/>
      <c r="S9" s="237"/>
    </row>
    <row r="10" spans="1:19" ht="15" customHeight="1" x14ac:dyDescent="0.25">
      <c r="A10" s="239"/>
      <c r="B10" s="238"/>
      <c r="C10" s="238"/>
      <c r="D10" s="238"/>
      <c r="E10" s="238"/>
      <c r="F10" s="238"/>
      <c r="G10" s="237"/>
      <c r="H10" s="237"/>
      <c r="I10" s="238"/>
      <c r="J10" s="237"/>
      <c r="K10" s="237"/>
      <c r="L10" s="237"/>
      <c r="M10" s="237"/>
      <c r="N10" s="237"/>
      <c r="O10" s="237"/>
      <c r="P10" s="237"/>
      <c r="Q10" s="237"/>
      <c r="R10" s="237"/>
      <c r="S10" s="237"/>
    </row>
    <row r="11" spans="1:19" ht="41.25" customHeight="1" x14ac:dyDescent="0.25">
      <c r="A11" s="4" t="s">
        <v>136</v>
      </c>
      <c r="B11" s="238"/>
      <c r="C11" s="238"/>
      <c r="D11" s="238"/>
      <c r="E11" s="238"/>
      <c r="F11" s="238"/>
      <c r="G11" s="237"/>
      <c r="H11" s="237"/>
      <c r="I11" s="238"/>
      <c r="J11" s="237"/>
      <c r="K11" s="237"/>
      <c r="L11" s="237"/>
      <c r="M11" s="237"/>
      <c r="N11" s="237"/>
      <c r="O11" s="237"/>
      <c r="P11" s="237"/>
      <c r="Q11" s="237"/>
      <c r="R11" s="237"/>
      <c r="S11" s="237"/>
    </row>
    <row r="12" spans="1:19" ht="42" customHeight="1" x14ac:dyDescent="0.25">
      <c r="A12" s="4" t="s">
        <v>137</v>
      </c>
      <c r="B12" s="237"/>
      <c r="C12" s="237"/>
      <c r="D12" s="237"/>
      <c r="E12" s="237"/>
      <c r="F12" s="237"/>
      <c r="G12" s="237"/>
      <c r="H12" s="237"/>
      <c r="I12" s="238"/>
      <c r="J12" s="237"/>
      <c r="K12" s="237"/>
      <c r="L12" s="237"/>
      <c r="M12" s="237"/>
      <c r="N12" s="237"/>
      <c r="O12" s="237"/>
      <c r="P12" s="237"/>
      <c r="Q12" s="237"/>
      <c r="R12" s="237"/>
      <c r="S12" s="237"/>
    </row>
    <row r="13" spans="1:19" ht="15" customHeight="1" x14ac:dyDescent="0.25">
      <c r="A13" s="4" t="s">
        <v>138</v>
      </c>
      <c r="B13" s="238" t="s">
        <v>129</v>
      </c>
      <c r="C13" s="238"/>
      <c r="D13" s="238"/>
      <c r="E13" s="238"/>
      <c r="F13" s="238"/>
      <c r="G13" s="237"/>
      <c r="H13" s="237"/>
      <c r="I13" s="238" t="s">
        <v>133</v>
      </c>
      <c r="J13" s="237"/>
      <c r="K13" s="237"/>
      <c r="L13" s="237"/>
      <c r="M13" s="237"/>
      <c r="N13" s="237"/>
      <c r="O13" s="237"/>
      <c r="P13" s="237"/>
      <c r="Q13" s="237"/>
      <c r="R13" s="237"/>
      <c r="S13" s="237"/>
    </row>
    <row r="14" spans="1:19" ht="15" customHeight="1" x14ac:dyDescent="0.25">
      <c r="A14" s="5"/>
      <c r="B14" s="238"/>
      <c r="C14" s="238"/>
      <c r="D14" s="238"/>
      <c r="E14" s="238"/>
      <c r="F14" s="238"/>
      <c r="G14" s="237"/>
      <c r="H14" s="237"/>
      <c r="I14" s="241"/>
      <c r="J14" s="237"/>
      <c r="K14" s="237"/>
      <c r="L14" s="237"/>
      <c r="M14" s="237"/>
      <c r="N14" s="237"/>
      <c r="O14" s="237"/>
      <c r="P14" s="237"/>
      <c r="Q14" s="237"/>
      <c r="R14" s="237"/>
      <c r="S14" s="237"/>
    </row>
    <row r="15" spans="1:19" ht="15" customHeight="1" x14ac:dyDescent="0.25">
      <c r="A15" s="4" t="s">
        <v>139</v>
      </c>
      <c r="B15" s="238"/>
      <c r="C15" s="238"/>
      <c r="D15" s="238"/>
      <c r="E15" s="238"/>
      <c r="F15" s="238"/>
      <c r="G15" s="237"/>
      <c r="H15" s="237"/>
      <c r="I15" s="238"/>
      <c r="J15" s="237"/>
      <c r="K15" s="237"/>
      <c r="L15" s="237"/>
      <c r="M15" s="237"/>
      <c r="N15" s="237"/>
      <c r="O15" s="237"/>
      <c r="P15" s="237"/>
      <c r="Q15" s="237"/>
      <c r="R15" s="237"/>
      <c r="S15" s="237"/>
    </row>
    <row r="16" spans="1:19" ht="15" customHeight="1" x14ac:dyDescent="0.25">
      <c r="A16" s="4" t="s">
        <v>140</v>
      </c>
      <c r="B16" s="238"/>
      <c r="C16" s="238"/>
      <c r="D16" s="238"/>
      <c r="E16" s="238"/>
      <c r="F16" s="238"/>
      <c r="G16" s="237"/>
      <c r="H16" s="237"/>
      <c r="I16" s="238"/>
      <c r="J16" s="237"/>
      <c r="K16" s="237"/>
      <c r="L16" s="237"/>
      <c r="M16" s="237"/>
      <c r="N16" s="237"/>
      <c r="O16" s="237"/>
      <c r="P16" s="237"/>
      <c r="Q16" s="237"/>
      <c r="R16" s="237"/>
      <c r="S16" s="237"/>
    </row>
    <row r="17" spans="1:19" ht="15" customHeight="1" x14ac:dyDescent="0.25">
      <c r="A17" s="4" t="s">
        <v>141</v>
      </c>
      <c r="B17" s="238" t="s">
        <v>142</v>
      </c>
      <c r="C17" s="238"/>
      <c r="D17" s="238"/>
      <c r="E17" s="238"/>
      <c r="F17" s="238"/>
      <c r="G17" s="237"/>
      <c r="H17" s="237"/>
      <c r="I17" s="238" t="s">
        <v>133</v>
      </c>
      <c r="J17" s="237"/>
      <c r="K17" s="237"/>
      <c r="L17" s="237"/>
      <c r="M17" s="237"/>
      <c r="N17" s="237"/>
      <c r="O17" s="237"/>
      <c r="P17" s="237"/>
      <c r="Q17" s="237"/>
      <c r="R17" s="237"/>
      <c r="S17" s="237"/>
    </row>
    <row r="18" spans="1:19" ht="15" customHeight="1" x14ac:dyDescent="0.25">
      <c r="A18" s="5"/>
      <c r="B18" s="238"/>
      <c r="C18" s="238"/>
      <c r="D18" s="238"/>
      <c r="E18" s="238"/>
      <c r="F18" s="238"/>
      <c r="G18" s="237"/>
      <c r="H18" s="237"/>
      <c r="I18" s="241"/>
      <c r="J18" s="237"/>
      <c r="K18" s="237"/>
      <c r="L18" s="237"/>
      <c r="M18" s="237"/>
      <c r="N18" s="237"/>
      <c r="O18" s="237"/>
      <c r="P18" s="237"/>
      <c r="Q18" s="237"/>
      <c r="R18" s="237"/>
      <c r="S18" s="237"/>
    </row>
    <row r="19" spans="1:19" ht="15" customHeight="1" x14ac:dyDescent="0.25">
      <c r="A19" s="4" t="s">
        <v>143</v>
      </c>
      <c r="B19" s="238" t="s">
        <v>144</v>
      </c>
      <c r="C19" s="238"/>
      <c r="D19" s="238"/>
      <c r="E19" s="238"/>
      <c r="F19" s="238"/>
      <c r="G19" s="237"/>
      <c r="H19" s="237"/>
      <c r="I19" s="238" t="s">
        <v>145</v>
      </c>
      <c r="J19" s="237"/>
      <c r="K19" s="237"/>
      <c r="L19" s="237"/>
      <c r="M19" s="237"/>
      <c r="N19" s="237"/>
      <c r="O19" s="237"/>
      <c r="P19" s="237"/>
      <c r="Q19" s="237"/>
      <c r="R19" s="237"/>
      <c r="S19" s="237"/>
    </row>
    <row r="20" spans="1:19" ht="15" customHeight="1" x14ac:dyDescent="0.25">
      <c r="A20" s="4" t="s">
        <v>146</v>
      </c>
      <c r="B20" s="238"/>
      <c r="C20" s="238"/>
      <c r="D20" s="238"/>
      <c r="E20" s="238"/>
      <c r="F20" s="238"/>
      <c r="G20" s="237"/>
      <c r="H20" s="237"/>
      <c r="I20" s="238"/>
      <c r="J20" s="237"/>
      <c r="K20" s="237"/>
      <c r="L20" s="237"/>
      <c r="M20" s="237"/>
      <c r="N20" s="237"/>
      <c r="O20" s="237"/>
      <c r="P20" s="237"/>
      <c r="Q20" s="237"/>
      <c r="R20" s="237"/>
      <c r="S20" s="237"/>
    </row>
    <row r="21" spans="1:19" ht="15" customHeight="1" x14ac:dyDescent="0.25">
      <c r="A21" s="4" t="s">
        <v>147</v>
      </c>
      <c r="B21" s="238"/>
      <c r="C21" s="238"/>
      <c r="D21" s="238"/>
      <c r="E21" s="238"/>
      <c r="F21" s="238"/>
      <c r="G21" s="237"/>
      <c r="H21" s="237"/>
      <c r="I21" s="238"/>
      <c r="J21" s="237"/>
      <c r="K21" s="237"/>
      <c r="L21" s="237"/>
      <c r="M21" s="237"/>
      <c r="N21" s="237"/>
      <c r="O21" s="237"/>
      <c r="P21" s="237"/>
      <c r="Q21" s="237"/>
      <c r="R21" s="237"/>
      <c r="S21" s="237"/>
    </row>
    <row r="22" spans="1:19" ht="15" customHeight="1" x14ac:dyDescent="0.25">
      <c r="A22" s="4" t="s">
        <v>148</v>
      </c>
      <c r="B22" s="238"/>
      <c r="C22" s="238"/>
      <c r="D22" s="238"/>
      <c r="E22" s="238"/>
      <c r="F22" s="238"/>
      <c r="G22" s="237"/>
      <c r="H22" s="237"/>
      <c r="I22" s="238"/>
      <c r="J22" s="237"/>
      <c r="K22" s="237"/>
      <c r="L22" s="237"/>
      <c r="M22" s="237"/>
      <c r="N22" s="237"/>
      <c r="O22" s="237"/>
      <c r="P22" s="237"/>
      <c r="Q22" s="237"/>
      <c r="R22" s="237"/>
      <c r="S22" s="237"/>
    </row>
    <row r="23" spans="1:19" ht="42.75" customHeight="1" x14ac:dyDescent="0.25">
      <c r="A23" s="4" t="s">
        <v>149</v>
      </c>
      <c r="B23" s="238"/>
      <c r="C23" s="238"/>
      <c r="D23" s="238"/>
      <c r="E23" s="238"/>
      <c r="F23" s="238"/>
      <c r="G23" s="237"/>
      <c r="H23" s="237"/>
      <c r="I23" s="238"/>
      <c r="J23" s="237"/>
      <c r="K23" s="237"/>
      <c r="L23" s="237"/>
      <c r="M23" s="237"/>
      <c r="N23" s="237"/>
      <c r="O23" s="237"/>
      <c r="P23" s="237"/>
      <c r="Q23" s="237"/>
      <c r="R23" s="237"/>
      <c r="S23" s="237"/>
    </row>
    <row r="24" spans="1:19" ht="15" customHeight="1" x14ac:dyDescent="0.25">
      <c r="A24" s="4" t="s">
        <v>150</v>
      </c>
      <c r="B24" s="238" t="s">
        <v>151</v>
      </c>
      <c r="C24" s="238"/>
      <c r="D24" s="238"/>
      <c r="E24" s="238"/>
      <c r="F24" s="238"/>
      <c r="G24" s="237"/>
      <c r="H24" s="237"/>
      <c r="I24" s="238" t="s">
        <v>133</v>
      </c>
      <c r="J24" s="237"/>
      <c r="K24" s="237"/>
      <c r="L24" s="237"/>
      <c r="M24" s="237"/>
      <c r="N24" s="237"/>
      <c r="O24" s="237"/>
      <c r="P24" s="237"/>
      <c r="Q24" s="237"/>
      <c r="R24" s="237"/>
      <c r="S24" s="237"/>
    </row>
    <row r="25" spans="1:19" ht="15" customHeight="1" x14ac:dyDescent="0.25">
      <c r="A25" s="5"/>
      <c r="B25" s="238"/>
      <c r="C25" s="238"/>
      <c r="D25" s="238"/>
      <c r="E25" s="238"/>
      <c r="F25" s="238"/>
      <c r="G25" s="237"/>
      <c r="H25" s="237"/>
      <c r="I25" s="241"/>
      <c r="J25" s="237"/>
      <c r="K25" s="237"/>
      <c r="L25" s="237"/>
      <c r="M25" s="237"/>
      <c r="N25" s="237"/>
      <c r="O25" s="237"/>
      <c r="P25" s="237"/>
      <c r="Q25" s="237"/>
      <c r="R25" s="237"/>
      <c r="S25" s="237"/>
    </row>
    <row r="26" spans="1:19" ht="29.25" customHeight="1" x14ac:dyDescent="0.25">
      <c r="A26" s="4" t="s">
        <v>152</v>
      </c>
      <c r="B26" s="238"/>
      <c r="C26" s="238"/>
      <c r="D26" s="238"/>
      <c r="E26" s="238"/>
      <c r="F26" s="238"/>
      <c r="G26" s="237"/>
      <c r="H26" s="237"/>
      <c r="I26" s="238"/>
      <c r="J26" s="237"/>
      <c r="K26" s="237"/>
      <c r="L26" s="237"/>
      <c r="M26" s="237"/>
      <c r="N26" s="237"/>
      <c r="O26" s="237"/>
      <c r="P26" s="237"/>
      <c r="Q26" s="237"/>
      <c r="R26" s="237"/>
      <c r="S26" s="237"/>
    </row>
    <row r="27" spans="1:19" ht="27" customHeight="1" x14ac:dyDescent="0.25">
      <c r="A27" s="4" t="s">
        <v>153</v>
      </c>
      <c r="B27" s="238" t="s">
        <v>151</v>
      </c>
      <c r="C27" s="238"/>
      <c r="D27" s="238"/>
      <c r="E27" s="238"/>
      <c r="F27" s="238"/>
      <c r="G27" s="237"/>
      <c r="H27" s="237"/>
      <c r="I27" s="238" t="s">
        <v>154</v>
      </c>
      <c r="J27" s="237"/>
      <c r="K27" s="237"/>
      <c r="L27" s="237"/>
      <c r="M27" s="237"/>
      <c r="N27" s="237"/>
      <c r="O27" s="237"/>
      <c r="P27" s="237"/>
      <c r="Q27" s="237"/>
      <c r="R27" s="237"/>
      <c r="S27" s="237"/>
    </row>
    <row r="28" spans="1:19" ht="15" customHeight="1" x14ac:dyDescent="0.25">
      <c r="A28" s="5"/>
      <c r="B28" s="238"/>
      <c r="C28" s="238"/>
      <c r="D28" s="238"/>
      <c r="E28" s="238"/>
      <c r="F28" s="238"/>
      <c r="G28" s="237"/>
      <c r="H28" s="237"/>
      <c r="I28" s="241"/>
      <c r="J28" s="237"/>
      <c r="K28" s="237"/>
      <c r="L28" s="237"/>
      <c r="M28" s="237"/>
      <c r="N28" s="237"/>
      <c r="O28" s="237"/>
      <c r="P28" s="237"/>
      <c r="Q28" s="237"/>
      <c r="R28" s="237"/>
      <c r="S28" s="237"/>
    </row>
  </sheetData>
  <mergeCells count="50">
    <mergeCell ref="B28:H28"/>
    <mergeCell ref="I28:S28"/>
    <mergeCell ref="B26:H26"/>
    <mergeCell ref="I26:S26"/>
    <mergeCell ref="B27:H27"/>
    <mergeCell ref="I27:S27"/>
    <mergeCell ref="B24:H24"/>
    <mergeCell ref="I24:S24"/>
    <mergeCell ref="B25:H25"/>
    <mergeCell ref="I25:S25"/>
    <mergeCell ref="B22:H22"/>
    <mergeCell ref="I22:S22"/>
    <mergeCell ref="B23:H23"/>
    <mergeCell ref="I23:S23"/>
    <mergeCell ref="B19:H20"/>
    <mergeCell ref="I19:S20"/>
    <mergeCell ref="B21:H21"/>
    <mergeCell ref="I21:S21"/>
    <mergeCell ref="B17:H17"/>
    <mergeCell ref="I17:S17"/>
    <mergeCell ref="B18:H18"/>
    <mergeCell ref="I18:S18"/>
    <mergeCell ref="B15:H15"/>
    <mergeCell ref="I15:S15"/>
    <mergeCell ref="B16:H16"/>
    <mergeCell ref="I16:S16"/>
    <mergeCell ref="B13:H13"/>
    <mergeCell ref="I13:S13"/>
    <mergeCell ref="B14:H14"/>
    <mergeCell ref="I14:S14"/>
    <mergeCell ref="A9:A10"/>
    <mergeCell ref="B9:H10"/>
    <mergeCell ref="I9:S10"/>
    <mergeCell ref="B11:H12"/>
    <mergeCell ref="I11:S11"/>
    <mergeCell ref="I12:S12"/>
    <mergeCell ref="A7:A8"/>
    <mergeCell ref="B7:H8"/>
    <mergeCell ref="I7:S8"/>
    <mergeCell ref="B4:H4"/>
    <mergeCell ref="I4:S4"/>
    <mergeCell ref="B5:H5"/>
    <mergeCell ref="I5:S5"/>
    <mergeCell ref="B6:H6"/>
    <mergeCell ref="I6:S6"/>
    <mergeCell ref="A1:S1"/>
    <mergeCell ref="B2:H2"/>
    <mergeCell ref="I2:S2"/>
    <mergeCell ref="B3:H3"/>
    <mergeCell ref="I3:S3"/>
  </mergeCells>
  <phoneticPr fontId="0" type="noConversion"/>
  <printOptions horizontalCentered="1" verticalCentered="1"/>
  <pageMargins left="0.25" right="0.25" top="0.25" bottom="0.25" header="0.5" footer="0.5"/>
  <pageSetup paperSize="5" scale="88" orientation="landscape" horizontalDpi="4294967293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22E979A030294A87B82FE28563E79F" ma:contentTypeVersion="16" ma:contentTypeDescription="Create a new document." ma:contentTypeScope="" ma:versionID="b74186fca6014ee7da6972e356cae497">
  <xsd:schema xmlns:xsd="http://www.w3.org/2001/XMLSchema" xmlns:xs="http://www.w3.org/2001/XMLSchema" xmlns:p="http://schemas.microsoft.com/office/2006/metadata/properties" xmlns:ns2="bb240d60-21ac-4217-b70c-997646fc2d1c" xmlns:ns3="dea28faa-6b6d-4391-8a43-0eba39ca3360" targetNamespace="http://schemas.microsoft.com/office/2006/metadata/properties" ma:root="true" ma:fieldsID="c0fcd689164a622fe251a5df28772423" ns2:_="" ns3:_="">
    <xsd:import namespace="bb240d60-21ac-4217-b70c-997646fc2d1c"/>
    <xsd:import namespace="dea28faa-6b6d-4391-8a43-0eba39ca3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40d60-21ac-4217-b70c-997646fc2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12e36a2-49b7-4b00-ba12-1750025de1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28faa-6b6d-4391-8a43-0eba39ca336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7bb177e-42d6-4166-9bd8-83951ebdb467}" ma:internalName="TaxCatchAll" ma:showField="CatchAllData" ma:web="dea28faa-6b6d-4391-8a43-0eba39ca3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ea28faa-6b6d-4391-8a43-0eba39ca3360">
      <UserInfo>
        <DisplayName>Chavez, Natasha</DisplayName>
        <AccountId>16</AccountId>
        <AccountType/>
      </UserInfo>
      <UserInfo>
        <DisplayName>SharingLinks.6c867f0c-6f06-4e8f-9514-c6481c357b87.OrganizationEdit.331f491d-ee45-413a-b6e7-e6e08cee53da</DisplayName>
        <AccountId>62</AccountId>
        <AccountType/>
      </UserInfo>
      <UserInfo>
        <DisplayName>SharingLinks.b2d4efcf-119c-4773-a37c-719901fc73be.Flexible.b28844df-0831-4eec-b187-1b0d61606792</DisplayName>
        <AccountId>115</AccountId>
        <AccountType/>
      </UserInfo>
      <UserInfo>
        <DisplayName>SharingLinks.db1948fe-28c9-4431-a49d-2620e3ca09b1.Flexible.d509edcf-6609-4958-83d9-e24b4535b2dc</DisplayName>
        <AccountId>57</AccountId>
        <AccountType/>
      </UserInfo>
      <UserInfo>
        <DisplayName>zzCross, Tiffany</DisplayName>
        <AccountId>15</AccountId>
        <AccountType/>
      </UserInfo>
      <UserInfo>
        <DisplayName>Bair, Vincent</DisplayName>
        <AccountId>149</AccountId>
        <AccountType/>
      </UserInfo>
      <UserInfo>
        <DisplayName>DePrince, Janine</DisplayName>
        <AccountId>152</AccountId>
        <AccountType/>
      </UserInfo>
      <UserInfo>
        <DisplayName>SharingLinks.17648574-7a9e-47c4-ae5b-9683967d4a83.Flexible.c27feae9-52a0-4590-a175-757dbe44b179</DisplayName>
        <AccountId>40</AccountId>
        <AccountType/>
      </UserInfo>
      <UserInfo>
        <DisplayName>Hobson, Rob</DisplayName>
        <AccountId>13</AccountId>
        <AccountType/>
      </UserInfo>
      <UserInfo>
        <DisplayName>Lane, Tim</DisplayName>
        <AccountId>375</AccountId>
        <AccountType/>
      </UserInfo>
      <UserInfo>
        <DisplayName>Battenberg, Christopher</DisplayName>
        <AccountId>82</AccountId>
        <AccountType/>
      </UserInfo>
      <UserInfo>
        <DisplayName>Clenard, Chandon</DisplayName>
        <AccountId>22</AccountId>
        <AccountType/>
      </UserInfo>
      <UserInfo>
        <DisplayName>DeCollo, Dave</DisplayName>
        <AccountId>264</AccountId>
        <AccountType/>
      </UserInfo>
      <UserInfo>
        <DisplayName>Stanley, Kendall</DisplayName>
        <AccountId>398</AccountId>
        <AccountType/>
      </UserInfo>
    </SharedWithUsers>
    <TaxCatchAll xmlns="dea28faa-6b6d-4391-8a43-0eba39ca3360" xsi:nil="true"/>
    <lcf76f155ced4ddcb4097134ff3c332f xmlns="bb240d60-21ac-4217-b70c-997646fc2d1c">
      <Terms xmlns="http://schemas.microsoft.com/office/infopath/2007/PartnerControls"/>
    </lcf76f155ced4ddcb4097134ff3c332f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3DC6592-0C60-45F2-A3D2-8F7C143D39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40d60-21ac-4217-b70c-997646fc2d1c"/>
    <ds:schemaRef ds:uri="dea28faa-6b6d-4391-8a43-0eba39ca33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422935-AA80-4CA1-B4E5-2526B8F4EF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F92FC8-636A-48CE-97EC-5EC32B688F7D}">
  <ds:schemaRefs>
    <ds:schemaRef ds:uri="http://schemas.microsoft.com/office/2006/metadata/properties"/>
    <ds:schemaRef ds:uri="http://schemas.microsoft.com/office/infopath/2007/PartnerControls"/>
    <ds:schemaRef ds:uri="dea28faa-6b6d-4391-8a43-0eba39ca3360"/>
    <ds:schemaRef ds:uri="bb240d60-21ac-4217-b70c-997646fc2d1c"/>
  </ds:schemaRefs>
</ds:datastoreItem>
</file>

<file path=customXml/itemProps4.xml><?xml version="1.0" encoding="utf-8"?>
<ds:datastoreItem xmlns:ds="http://schemas.openxmlformats.org/officeDocument/2006/customXml" ds:itemID="{F146BB41-9A9C-4659-830A-D9F0D448F77A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Cafe Stats</vt:lpstr>
      <vt:lpstr>Menu</vt:lpstr>
      <vt:lpstr>BBQ Thursday</vt:lpstr>
      <vt:lpstr>Latin American </vt:lpstr>
      <vt:lpstr>Unit Profile</vt:lpstr>
      <vt:lpstr>Min Cooking Temps and Holding</vt:lpstr>
      <vt:lpstr>Menu_Prices_Gross</vt:lpstr>
      <vt:lpstr>Population</vt:lpstr>
      <vt:lpstr>'Min Cooking Temps and Holding'!Print_Area</vt:lpstr>
      <vt:lpstr>Tax_Rate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Lenore Emery</dc:creator>
  <cp:keywords/>
  <dc:description/>
  <cp:lastModifiedBy>Tyler Leiss</cp:lastModifiedBy>
  <cp:revision/>
  <dcterms:created xsi:type="dcterms:W3CDTF">2003-05-06T00:37:59Z</dcterms:created>
  <dcterms:modified xsi:type="dcterms:W3CDTF">2026-07-02T15:41:12Z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0x0101008D22E979A030294A87B82FE28563E79F</vt:lpwstr>
  </property>
  <property fmtid="{D5CDD505-2E9C-101B-9397-08002B2CF9AE}" pid="3" name="TaxCatchAll">
    <vt:lpwstr/>
  </property>
  <property fmtid="{D5CDD505-2E9C-101B-9397-08002B2CF9AE}" pid="4" name="lcf76f155ced4ddcb4097134ff3c332f">
    <vt:lpwstr/>
  </property>
  <property fmtid="{D5CDD505-2E9C-101B-9397-08002B2CF9AE}" pid="5" name="display_urn:schemas-microsoft-com:office:office#SharedWithUsers">
    <vt:lpwstr>Scott, Joshua;Leiss, Tyler</vt:lpwstr>
  </property>
  <property fmtid="{D5CDD505-2E9C-101B-9397-08002B2CF9AE}" pid="6" name="SharedWithUsers">
    <vt:lpwstr>16;#Scott, Joshua;#62;#Leiss, Tyler</vt:lpwstr>
  </property>
  <property fmtid="{D5CDD505-2E9C-101B-9397-08002B2CF9AE}" pid="7" name="MediaServiceImageTags">
    <vt:lpwstr/>
  </property>
</Properties>
</file>